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12475566973\Downloads\"/>
    </mc:Choice>
  </mc:AlternateContent>
  <bookViews>
    <workbookView xWindow="0" yWindow="0" windowWidth="28800" windowHeight="11700" tabRatio="601"/>
  </bookViews>
  <sheets>
    <sheet name="Nova Zelândia" sheetId="4" r:id="rId1"/>
    <sheet name="Palmas" sheetId="16" r:id="rId2"/>
  </sheets>
  <calcPr calcId="162913"/>
</workbook>
</file>

<file path=xl/calcChain.xml><?xml version="1.0" encoding="utf-8"?>
<calcChain xmlns="http://schemas.openxmlformats.org/spreadsheetml/2006/main">
  <c r="S33" i="4" l="1"/>
  <c r="S91" i="16"/>
  <c r="K39" i="4" l="1"/>
  <c r="K40" i="4"/>
  <c r="K41" i="4"/>
  <c r="K42" i="4"/>
  <c r="K43" i="4"/>
  <c r="K44" i="4"/>
  <c r="K45" i="4"/>
  <c r="K46" i="4"/>
  <c r="K47" i="4"/>
  <c r="K48" i="4"/>
  <c r="K49" i="4"/>
  <c r="K50" i="4"/>
  <c r="K51" i="4"/>
  <c r="K52" i="4"/>
  <c r="K53" i="4"/>
  <c r="K54" i="4"/>
  <c r="K55" i="4"/>
  <c r="K38" i="4"/>
  <c r="K39" i="16"/>
  <c r="K40" i="16"/>
  <c r="K41" i="16"/>
  <c r="K42" i="16"/>
  <c r="K43" i="16"/>
  <c r="K44" i="16"/>
  <c r="K45" i="16"/>
  <c r="K46" i="16"/>
  <c r="K47" i="16"/>
  <c r="K48" i="16"/>
  <c r="K49" i="16"/>
  <c r="K50" i="16"/>
  <c r="K51" i="16"/>
  <c r="K52" i="16"/>
  <c r="K53" i="16"/>
  <c r="K54" i="16"/>
  <c r="K55" i="16"/>
  <c r="K38" i="16"/>
  <c r="I38" i="16"/>
  <c r="K97" i="16"/>
  <c r="K98" i="16"/>
  <c r="K99" i="16"/>
  <c r="K100" i="16"/>
  <c r="K101" i="16"/>
  <c r="K102" i="16"/>
  <c r="K103" i="16"/>
  <c r="K104" i="16"/>
  <c r="K105" i="16"/>
  <c r="K106" i="16"/>
  <c r="K107" i="16"/>
  <c r="K108" i="16"/>
  <c r="K109" i="16"/>
  <c r="K110" i="16"/>
  <c r="K111" i="16"/>
  <c r="K112" i="16"/>
  <c r="K113" i="16"/>
  <c r="K96" i="16"/>
  <c r="S98" i="16"/>
  <c r="I113" i="16"/>
  <c r="J113" i="16" s="1"/>
  <c r="H113" i="16"/>
  <c r="E113" i="16"/>
  <c r="I112" i="16"/>
  <c r="J112" i="16" s="1"/>
  <c r="H112" i="16"/>
  <c r="E112" i="16"/>
  <c r="I111" i="16"/>
  <c r="J111" i="16" s="1"/>
  <c r="H111" i="16"/>
  <c r="E111" i="16"/>
  <c r="I110" i="16"/>
  <c r="J110" i="16" s="1"/>
  <c r="H110" i="16"/>
  <c r="E110" i="16"/>
  <c r="I109" i="16"/>
  <c r="J109" i="16" s="1"/>
  <c r="H109" i="16"/>
  <c r="E109" i="16"/>
  <c r="I108" i="16"/>
  <c r="J108" i="16" s="1"/>
  <c r="H108" i="16"/>
  <c r="E108" i="16"/>
  <c r="I107" i="16"/>
  <c r="J107" i="16" s="1"/>
  <c r="H107" i="16"/>
  <c r="E107" i="16"/>
  <c r="I106" i="16"/>
  <c r="J106" i="16" s="1"/>
  <c r="H106" i="16"/>
  <c r="E106" i="16"/>
  <c r="I105" i="16"/>
  <c r="J105" i="16" s="1"/>
  <c r="H105" i="16"/>
  <c r="E105" i="16"/>
  <c r="P104" i="16"/>
  <c r="I104" i="16"/>
  <c r="H104" i="16"/>
  <c r="J104" i="16" s="1"/>
  <c r="E104" i="16"/>
  <c r="S103" i="16"/>
  <c r="P103" i="16"/>
  <c r="J103" i="16"/>
  <c r="I103" i="16"/>
  <c r="H103" i="16"/>
  <c r="E103" i="16"/>
  <c r="S102" i="16"/>
  <c r="P102" i="16"/>
  <c r="I102" i="16"/>
  <c r="H102" i="16"/>
  <c r="J102" i="16" s="1"/>
  <c r="E102" i="16"/>
  <c r="S101" i="16"/>
  <c r="P101" i="16"/>
  <c r="J101" i="16"/>
  <c r="I101" i="16"/>
  <c r="H101" i="16"/>
  <c r="E101" i="16"/>
  <c r="S100" i="16"/>
  <c r="P100" i="16"/>
  <c r="I100" i="16"/>
  <c r="H100" i="16"/>
  <c r="J100" i="16" s="1"/>
  <c r="E100" i="16"/>
  <c r="S99" i="16"/>
  <c r="P99" i="16"/>
  <c r="J99" i="16"/>
  <c r="I99" i="16"/>
  <c r="H99" i="16"/>
  <c r="E99" i="16"/>
  <c r="P98" i="16"/>
  <c r="I98" i="16"/>
  <c r="H98" i="16"/>
  <c r="J98" i="16" s="1"/>
  <c r="E98" i="16"/>
  <c r="S97" i="16"/>
  <c r="P97" i="16"/>
  <c r="J97" i="16"/>
  <c r="I97" i="16"/>
  <c r="H97" i="16"/>
  <c r="E97" i="16"/>
  <c r="P96" i="16"/>
  <c r="P95" i="16" s="1"/>
  <c r="I96" i="16"/>
  <c r="J96" i="16" s="1"/>
  <c r="H96" i="16"/>
  <c r="E96" i="16"/>
  <c r="O95" i="16"/>
  <c r="N95" i="16"/>
  <c r="E95" i="16"/>
  <c r="D95" i="16"/>
  <c r="C95" i="16"/>
  <c r="H92" i="16"/>
  <c r="E84" i="16"/>
  <c r="I83" i="16"/>
  <c r="J83" i="16" s="1"/>
  <c r="H83" i="16"/>
  <c r="E83" i="16"/>
  <c r="I82" i="16"/>
  <c r="H82" i="16"/>
  <c r="E82" i="16"/>
  <c r="I81" i="16"/>
  <c r="H81" i="16"/>
  <c r="E81" i="16"/>
  <c r="I80" i="16"/>
  <c r="H80" i="16"/>
  <c r="E80" i="16"/>
  <c r="I79" i="16"/>
  <c r="J79" i="16" s="1"/>
  <c r="H79" i="16"/>
  <c r="E79" i="16"/>
  <c r="I78" i="16"/>
  <c r="H78" i="16"/>
  <c r="E78" i="16"/>
  <c r="I77" i="16"/>
  <c r="H77" i="16"/>
  <c r="E77" i="16"/>
  <c r="I76" i="16"/>
  <c r="H76" i="16"/>
  <c r="E76" i="16"/>
  <c r="I75" i="16"/>
  <c r="J75" i="16" s="1"/>
  <c r="H75" i="16"/>
  <c r="E75" i="16"/>
  <c r="I74" i="16"/>
  <c r="H74" i="16"/>
  <c r="E74" i="16"/>
  <c r="I73" i="16"/>
  <c r="H73" i="16"/>
  <c r="E73" i="16"/>
  <c r="I72" i="16"/>
  <c r="H72" i="16"/>
  <c r="E72" i="16"/>
  <c r="I71" i="16"/>
  <c r="J71" i="16" s="1"/>
  <c r="H71" i="16"/>
  <c r="E71" i="16"/>
  <c r="I70" i="16"/>
  <c r="H70" i="16"/>
  <c r="H66" i="16" s="1"/>
  <c r="E70" i="16"/>
  <c r="I69" i="16"/>
  <c r="H69" i="16"/>
  <c r="E69" i="16"/>
  <c r="I68" i="16"/>
  <c r="J68" i="16" s="1"/>
  <c r="H68" i="16"/>
  <c r="E68" i="16"/>
  <c r="I67" i="16"/>
  <c r="I66" i="16" s="1"/>
  <c r="H67" i="16"/>
  <c r="E67" i="16"/>
  <c r="E66" i="16"/>
  <c r="D66" i="16"/>
  <c r="C66" i="16"/>
  <c r="I55" i="16"/>
  <c r="H55" i="16"/>
  <c r="J55" i="16" s="1"/>
  <c r="E55" i="16"/>
  <c r="I54" i="16"/>
  <c r="H54" i="16"/>
  <c r="J54" i="16" s="1"/>
  <c r="E54" i="16"/>
  <c r="I53" i="16"/>
  <c r="H53" i="16"/>
  <c r="J53" i="16" s="1"/>
  <c r="E53" i="16"/>
  <c r="I52" i="16"/>
  <c r="H52" i="16"/>
  <c r="J52" i="16" s="1"/>
  <c r="E52" i="16"/>
  <c r="I51" i="16"/>
  <c r="H51" i="16"/>
  <c r="J51" i="16" s="1"/>
  <c r="E51" i="16"/>
  <c r="I50" i="16"/>
  <c r="H50" i="16"/>
  <c r="J50" i="16" s="1"/>
  <c r="E50" i="16"/>
  <c r="I49" i="16"/>
  <c r="H49" i="16"/>
  <c r="J49" i="16" s="1"/>
  <c r="E49" i="16"/>
  <c r="I48" i="16"/>
  <c r="H48" i="16"/>
  <c r="J48" i="16" s="1"/>
  <c r="E48" i="16"/>
  <c r="I47" i="16"/>
  <c r="H47" i="16"/>
  <c r="J47" i="16" s="1"/>
  <c r="E47" i="16"/>
  <c r="P46" i="16"/>
  <c r="I46" i="16"/>
  <c r="H46" i="16"/>
  <c r="J46" i="16" s="1"/>
  <c r="E46" i="16"/>
  <c r="S45" i="16"/>
  <c r="P45" i="16"/>
  <c r="J45" i="16"/>
  <c r="I45" i="16"/>
  <c r="H45" i="16"/>
  <c r="E45" i="16"/>
  <c r="S44" i="16"/>
  <c r="P44" i="16"/>
  <c r="I44" i="16"/>
  <c r="H44" i="16"/>
  <c r="J44" i="16" s="1"/>
  <c r="E44" i="16"/>
  <c r="S43" i="16"/>
  <c r="P43" i="16"/>
  <c r="J43" i="16"/>
  <c r="I43" i="16"/>
  <c r="H43" i="16"/>
  <c r="E43" i="16"/>
  <c r="S42" i="16"/>
  <c r="P42" i="16"/>
  <c r="I42" i="16"/>
  <c r="H42" i="16"/>
  <c r="J42" i="16" s="1"/>
  <c r="E42" i="16"/>
  <c r="S41" i="16"/>
  <c r="P41" i="16"/>
  <c r="J41" i="16"/>
  <c r="I41" i="16"/>
  <c r="H41" i="16"/>
  <c r="E41" i="16"/>
  <c r="S40" i="16"/>
  <c r="P40" i="16"/>
  <c r="I40" i="16"/>
  <c r="H40" i="16"/>
  <c r="J40" i="16" s="1"/>
  <c r="E40" i="16"/>
  <c r="S39" i="16"/>
  <c r="P39" i="16"/>
  <c r="J39" i="16"/>
  <c r="I39" i="16"/>
  <c r="H39" i="16"/>
  <c r="E39" i="16"/>
  <c r="P38" i="16"/>
  <c r="P37" i="16" s="1"/>
  <c r="H38" i="16"/>
  <c r="J38" i="16" s="1"/>
  <c r="E38" i="16"/>
  <c r="H90" i="16" s="1"/>
  <c r="O37" i="16"/>
  <c r="N37" i="16"/>
  <c r="E37" i="16"/>
  <c r="H89" i="16" s="1"/>
  <c r="D37" i="16"/>
  <c r="C37" i="16"/>
  <c r="H91" i="16" s="1"/>
  <c r="H34" i="16"/>
  <c r="E26" i="16"/>
  <c r="I25" i="16"/>
  <c r="J25" i="16" s="1"/>
  <c r="H25" i="16"/>
  <c r="E25" i="16"/>
  <c r="I24" i="16"/>
  <c r="H24" i="16"/>
  <c r="E24" i="16"/>
  <c r="I23" i="16"/>
  <c r="H23" i="16"/>
  <c r="E23" i="16"/>
  <c r="I22" i="16"/>
  <c r="H22" i="16"/>
  <c r="E22" i="16"/>
  <c r="I21" i="16"/>
  <c r="J21" i="16" s="1"/>
  <c r="H21" i="16"/>
  <c r="E21" i="16"/>
  <c r="I20" i="16"/>
  <c r="H20" i="16"/>
  <c r="E20" i="16"/>
  <c r="I19" i="16"/>
  <c r="H19" i="16"/>
  <c r="E19" i="16"/>
  <c r="I18" i="16"/>
  <c r="H18" i="16"/>
  <c r="E18" i="16"/>
  <c r="I17" i="16"/>
  <c r="J17" i="16" s="1"/>
  <c r="H17" i="16"/>
  <c r="E17" i="16"/>
  <c r="I16" i="16"/>
  <c r="H16" i="16"/>
  <c r="E16" i="16"/>
  <c r="I15" i="16"/>
  <c r="H15" i="16"/>
  <c r="E15" i="16"/>
  <c r="I14" i="16"/>
  <c r="H14" i="16"/>
  <c r="E14" i="16"/>
  <c r="I13" i="16"/>
  <c r="J13" i="16" s="1"/>
  <c r="H13" i="16"/>
  <c r="E13" i="16"/>
  <c r="I12" i="16"/>
  <c r="H12" i="16"/>
  <c r="H8" i="16" s="1"/>
  <c r="E12" i="16"/>
  <c r="I11" i="16"/>
  <c r="H11" i="16"/>
  <c r="E11" i="16"/>
  <c r="I10" i="16"/>
  <c r="H10" i="16"/>
  <c r="E10" i="16"/>
  <c r="I9" i="16"/>
  <c r="I8" i="16" s="1"/>
  <c r="H9" i="16"/>
  <c r="E9" i="16"/>
  <c r="E8" i="16"/>
  <c r="D8" i="16"/>
  <c r="C8" i="16"/>
  <c r="S41" i="4"/>
  <c r="S42" i="4"/>
  <c r="S45" i="4"/>
  <c r="J39" i="4"/>
  <c r="J51" i="4"/>
  <c r="J55" i="4"/>
  <c r="H39" i="4"/>
  <c r="I39" i="4"/>
  <c r="H40" i="4"/>
  <c r="I40" i="4"/>
  <c r="J40" i="4" s="1"/>
  <c r="H41" i="4"/>
  <c r="I41" i="4"/>
  <c r="H42" i="4"/>
  <c r="I42" i="4"/>
  <c r="H43" i="4"/>
  <c r="J43" i="4" s="1"/>
  <c r="I43" i="4"/>
  <c r="H44" i="4"/>
  <c r="I44" i="4"/>
  <c r="J44" i="4" s="1"/>
  <c r="H45" i="4"/>
  <c r="I45" i="4"/>
  <c r="H46" i="4"/>
  <c r="I46" i="4"/>
  <c r="H47" i="4"/>
  <c r="I47" i="4"/>
  <c r="J47" i="4" s="1"/>
  <c r="H48" i="4"/>
  <c r="I48" i="4"/>
  <c r="J48" i="4" s="1"/>
  <c r="H49" i="4"/>
  <c r="I49" i="4"/>
  <c r="H50" i="4"/>
  <c r="I50" i="4"/>
  <c r="H51" i="4"/>
  <c r="I51" i="4"/>
  <c r="H52" i="4"/>
  <c r="I52" i="4"/>
  <c r="J52" i="4" s="1"/>
  <c r="H53" i="4"/>
  <c r="I53" i="4"/>
  <c r="H54" i="4"/>
  <c r="I54" i="4"/>
  <c r="H55" i="4"/>
  <c r="I55" i="4"/>
  <c r="I38" i="4"/>
  <c r="H38" i="4"/>
  <c r="J38" i="4" s="1"/>
  <c r="C37" i="4"/>
  <c r="H33" i="4" s="1"/>
  <c r="H35" i="4" s="1"/>
  <c r="N37" i="4"/>
  <c r="O37" i="4"/>
  <c r="P38" i="4"/>
  <c r="P39" i="4"/>
  <c r="S39" i="4" s="1"/>
  <c r="P40" i="4"/>
  <c r="S40" i="4" s="1"/>
  <c r="P41" i="4"/>
  <c r="P42" i="4"/>
  <c r="P43" i="4"/>
  <c r="S43" i="4" s="1"/>
  <c r="P44" i="4"/>
  <c r="S44" i="4" s="1"/>
  <c r="P45" i="4"/>
  <c r="P46" i="4"/>
  <c r="D37" i="4"/>
  <c r="H34" i="4" s="1"/>
  <c r="E38" i="4"/>
  <c r="E39" i="4"/>
  <c r="E40" i="4"/>
  <c r="E41" i="4"/>
  <c r="E42" i="4"/>
  <c r="E43" i="4"/>
  <c r="E44" i="4"/>
  <c r="E45" i="4"/>
  <c r="E46" i="4"/>
  <c r="E47" i="4"/>
  <c r="E48" i="4"/>
  <c r="E49" i="4"/>
  <c r="E50" i="4"/>
  <c r="E51" i="4"/>
  <c r="E52" i="4"/>
  <c r="E53" i="4"/>
  <c r="E54" i="4"/>
  <c r="E55" i="4"/>
  <c r="J21" i="4"/>
  <c r="E26" i="4"/>
  <c r="E25" i="4"/>
  <c r="E24" i="4"/>
  <c r="E23" i="4"/>
  <c r="E22" i="4"/>
  <c r="E21" i="4"/>
  <c r="E20" i="4"/>
  <c r="E19" i="4"/>
  <c r="E18" i="4"/>
  <c r="E17" i="4"/>
  <c r="E16" i="4"/>
  <c r="E15" i="4"/>
  <c r="E14" i="4"/>
  <c r="E13" i="4"/>
  <c r="E12" i="4"/>
  <c r="E11" i="4"/>
  <c r="E10" i="4"/>
  <c r="E9" i="4"/>
  <c r="D8" i="4"/>
  <c r="C8" i="4"/>
  <c r="J9" i="4"/>
  <c r="J10" i="4"/>
  <c r="J11" i="4"/>
  <c r="J12" i="4"/>
  <c r="J13" i="4"/>
  <c r="J14" i="4"/>
  <c r="J15" i="4"/>
  <c r="J16" i="4"/>
  <c r="J17" i="4"/>
  <c r="J18" i="4"/>
  <c r="J19" i="4"/>
  <c r="J20" i="4"/>
  <c r="J22" i="4"/>
  <c r="J23" i="4"/>
  <c r="J24" i="4"/>
  <c r="J25" i="4"/>
  <c r="J50" i="4" l="1"/>
  <c r="J46" i="4"/>
  <c r="J53" i="4"/>
  <c r="J49" i="4"/>
  <c r="J45" i="4"/>
  <c r="J41" i="4"/>
  <c r="J54" i="4"/>
  <c r="J42" i="4"/>
  <c r="J12" i="16"/>
  <c r="J16" i="16"/>
  <c r="J20" i="16"/>
  <c r="J24" i="16"/>
  <c r="J70" i="16"/>
  <c r="J74" i="16"/>
  <c r="J78" i="16"/>
  <c r="J82" i="16"/>
  <c r="J11" i="16"/>
  <c r="J15" i="16"/>
  <c r="J19" i="16"/>
  <c r="J23" i="16"/>
  <c r="J69" i="16"/>
  <c r="J73" i="16"/>
  <c r="J77" i="16"/>
  <c r="J81" i="16"/>
  <c r="J10" i="16"/>
  <c r="J14" i="16"/>
  <c r="J18" i="16"/>
  <c r="J22" i="16"/>
  <c r="J72" i="16"/>
  <c r="J76" i="16"/>
  <c r="J80" i="16"/>
  <c r="S31" i="16"/>
  <c r="S90" i="16"/>
  <c r="S32" i="16"/>
  <c r="S89" i="16"/>
  <c r="J9" i="16"/>
  <c r="J8" i="16" s="1"/>
  <c r="H32" i="16"/>
  <c r="J67" i="16"/>
  <c r="H31" i="16"/>
  <c r="H33" i="16"/>
  <c r="H32" i="4"/>
  <c r="P37" i="4"/>
  <c r="E37" i="4"/>
  <c r="J8" i="4"/>
  <c r="E8" i="4"/>
  <c r="J66" i="16" l="1"/>
  <c r="H93" i="16"/>
  <c r="H35" i="16"/>
  <c r="H31" i="4"/>
  <c r="S31" i="4"/>
  <c r="S32" i="4"/>
</calcChain>
</file>

<file path=xl/sharedStrings.xml><?xml version="1.0" encoding="utf-8"?>
<sst xmlns="http://schemas.openxmlformats.org/spreadsheetml/2006/main" count="507" uniqueCount="87">
  <si>
    <t>População por sexo e idade</t>
  </si>
  <si>
    <t>Faixa Etária (em anos)</t>
  </si>
  <si>
    <t>Masculino</t>
  </si>
  <si>
    <t>Feminino</t>
  </si>
  <si>
    <t>Total</t>
  </si>
  <si>
    <t>&lt;1</t>
  </si>
  <si>
    <t>1  -  4</t>
  </si>
  <si>
    <t>5  -  9</t>
  </si>
  <si>
    <t>10 - 14</t>
  </si>
  <si>
    <t>15  - 19</t>
  </si>
  <si>
    <t>20  - 24</t>
  </si>
  <si>
    <t>25  - 29</t>
  </si>
  <si>
    <t>30  - 34</t>
  </si>
  <si>
    <t>35  - 39</t>
  </si>
  <si>
    <t>40  - 44</t>
  </si>
  <si>
    <t>45  - 49</t>
  </si>
  <si>
    <t>50  - 54</t>
  </si>
  <si>
    <t>55  - 59</t>
  </si>
  <si>
    <t>60  - 64</t>
  </si>
  <si>
    <t>65  - 69</t>
  </si>
  <si>
    <t>70  - 74</t>
  </si>
  <si>
    <t>75  - 79</t>
  </si>
  <si>
    <t>80+</t>
  </si>
  <si>
    <t>Óbitos por sexo e idade</t>
  </si>
  <si>
    <t>Nascidos Vivos por sexo e idade</t>
  </si>
  <si>
    <t>&lt;15</t>
  </si>
  <si>
    <t>15 - 19</t>
  </si>
  <si>
    <t>50+</t>
  </si>
  <si>
    <t>0-4</t>
  </si>
  <si>
    <t>5-9</t>
  </si>
  <si>
    <t>10-14</t>
  </si>
  <si>
    <t>15-19</t>
  </si>
  <si>
    <t>20-24</t>
  </si>
  <si>
    <t>25-29</t>
  </si>
  <si>
    <t>30-34</t>
  </si>
  <si>
    <t>35-39</t>
  </si>
  <si>
    <t>40-44</t>
  </si>
  <si>
    <t>45-49</t>
  </si>
  <si>
    <t>50-54</t>
  </si>
  <si>
    <t>55-59</t>
  </si>
  <si>
    <t>60-64</t>
  </si>
  <si>
    <t>65-69</t>
  </si>
  <si>
    <t>70-74</t>
  </si>
  <si>
    <t>75-79</t>
  </si>
  <si>
    <t>Notas:</t>
  </si>
  <si>
    <t>NOVA ZELÂNDIA – 2020</t>
  </si>
  <si>
    <t>PALMAS – 2021</t>
  </si>
  <si>
    <t>PALMAS – 2011</t>
  </si>
  <si>
    <t>PALMAS - 2021</t>
  </si>
  <si>
    <t>PALMAS - 2011</t>
  </si>
  <si>
    <t xml:space="preserve">Fonte: </t>
  </si>
  <si>
    <t>Devido aos arredondamentos, os totais nem sempre são a soma das respectivas componentes.</t>
  </si>
  <si>
    <t>United Nations/Department of Economic and Social Affairs/Statistics Division/Demographic Yearbook - 2020</t>
  </si>
  <si>
    <t>Os dados referem-se apenas a óbitos de residentes. O arredondamento aleatório para a base 3 é aplicado nesta tabela como uma medida de confidencialidade.</t>
  </si>
  <si>
    <t>O arredondamento aleatório para a base 3 é aplicado nesta tabela como uma medida de confidencialidade. Os dados referem-se a nascimentos registados no país de mães residentes no país.</t>
  </si>
  <si>
    <t>MS/SVS/CGIAE - Sistema de Informações sobre Mortalidade - SIM</t>
  </si>
  <si>
    <t>MS/SVS/CGIAE - Sistema de Informações sobre Nascidos Vivos - SINASC</t>
  </si>
  <si>
    <t>2000 a 2021 – Estimativas preliminares elaboradas pelo Ministério da Saúde/SVSA/DAENT/CGIAE</t>
  </si>
  <si>
    <t>Em 2011, houve uma mudança no conteúdo da Declaração de Óbito, com maior detalhamento das informações coletadas. Para este ano, foram utilizados simultaneamente os dois formulários. Para mais detalhes sobre as mudanças ocorridas e os seus efeitos, veja o documento: "Sistema de Informações sobre Mortalidade - SIM. Consolidação da base de dados de 2011".</t>
  </si>
  <si>
    <t>Em 2011, houve uma mudança no conteúdo da Declaração de Nascidos Vivos, com maior detalhamento das informações coletadas. Para este ano, foram utilizados simultaneamente os dois formulários. Para mais detalhes sobre as mudanças ocorridas e os seus efeitos, veja o documento "Consolidação do Sistema de Informações sobre Nascidos Vivos - 2011".</t>
  </si>
  <si>
    <t>TBM</t>
  </si>
  <si>
    <t>TMI</t>
  </si>
  <si>
    <t>TEMm</t>
  </si>
  <si>
    <t>TEMf</t>
  </si>
  <si>
    <t>ISM</t>
  </si>
  <si>
    <t>Faixa Etária</t>
  </si>
  <si>
    <t>nTEMmx</t>
  </si>
  <si>
    <t>nTEMfx</t>
  </si>
  <si>
    <t>nISMx</t>
  </si>
  <si>
    <t>Legendas:</t>
  </si>
  <si>
    <t>taxa bruta de mortalidade</t>
  </si>
  <si>
    <t>taxa de mortalidade infantil</t>
  </si>
  <si>
    <t>taxa específica de mortalidade masculina</t>
  </si>
  <si>
    <t>taxa específica de mortalidade feminina</t>
  </si>
  <si>
    <t>índice de sobremortalidade masculina</t>
  </si>
  <si>
    <t>taxa específica de mortalidade masculina por idade</t>
  </si>
  <si>
    <t>taxa específica de mortalidade feminina por idade</t>
  </si>
  <si>
    <t>índice de sobremortalidade masculina por idade</t>
  </si>
  <si>
    <t>TBN</t>
  </si>
  <si>
    <t>taxa bruta de natalidade</t>
  </si>
  <si>
    <t>TFG</t>
  </si>
  <si>
    <t>taxa de fecundidade geral</t>
  </si>
  <si>
    <t>TFT</t>
  </si>
  <si>
    <t>taxa de fecundidade total</t>
  </si>
  <si>
    <t>nTEFx</t>
  </si>
  <si>
    <t>taxa específica de fecundidade por idade da mãe</t>
  </si>
  <si>
    <t>nTEMx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</si>
</sst>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6" x14ac:knownFonts="1">
    <font>
      <sz val="10"/>
      <name val="Arial"/>
      <family val="2"/>
    </font>
    <font>
      <b/>
      <sz val="12"/>
      <name val="Arial"/>
      <family val="2"/>
    </font>
    <font>
      <b/>
      <sz val="10"/>
      <name val="Arial"/>
      <family val="2"/>
    </font>
    <font>
      <sz val="10"/>
      <name val="Arial"/>
      <family val="2"/>
    </font>
    <font>
      <b/>
      <sz val="12"/>
      <name val="Arial"/>
      <family val="2"/>
      <charset val="1"/>
    </font>
    <font>
      <u/>
      <sz val="10"/>
      <color theme="10"/>
      <name val="Arial"/>
      <family val="2"/>
    </font>
  </fonts>
  <fills count="3">
    <fill>
      <patternFill patternType="none"/>
    </fill>
    <fill>
      <patternFill patternType="gray125"/>
    </fill>
    <fill>
      <patternFill patternType="solid">
        <fgColor rgb="FFFFFF00"/>
        <bgColor indexed="64"/>
      </patternFill>
    </fill>
  </fills>
  <borders count="24">
    <border>
      <left/>
      <right/>
      <top/>
      <bottom/>
      <diagonal/>
    </border>
    <border>
      <left/>
      <right style="thin">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medium">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8"/>
      </top>
      <bottom/>
      <diagonal/>
    </border>
    <border>
      <left/>
      <right/>
      <top/>
      <bottom style="medium">
        <color indexed="8"/>
      </bottom>
      <diagonal/>
    </border>
    <border>
      <left/>
      <right style="thin">
        <color indexed="8"/>
      </right>
      <top style="medium">
        <color indexed="8"/>
      </top>
      <bottom/>
      <diagonal/>
    </border>
    <border>
      <left/>
      <right style="thin">
        <color indexed="8"/>
      </right>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bottom style="medium">
        <color indexed="8"/>
      </bottom>
      <diagonal/>
    </border>
  </borders>
  <cellStyleXfs count="5">
    <xf numFmtId="0" fontId="0" fillId="0" borderId="0"/>
    <xf numFmtId="0" fontId="5" fillId="0" borderId="0" applyNumberFormat="0" applyFill="0" applyBorder="0" applyAlignment="0" applyProtection="0"/>
    <xf numFmtId="0" fontId="3" fillId="0" borderId="0"/>
    <xf numFmtId="9" fontId="3" fillId="0" borderId="0" applyFill="0" applyBorder="0" applyAlignment="0" applyProtection="0"/>
    <xf numFmtId="0" fontId="3" fillId="0" borderId="0"/>
  </cellStyleXfs>
  <cellXfs count="65">
    <xf numFmtId="0" fontId="0" fillId="0" borderId="0" xfId="0"/>
    <xf numFmtId="49" fontId="0" fillId="0" borderId="1" xfId="0" applyNumberFormat="1" applyFont="1" applyBorder="1" applyAlignment="1">
      <alignment horizontal="center"/>
    </xf>
    <xf numFmtId="0" fontId="0" fillId="0" borderId="2" xfId="3" applyNumberFormat="1" applyFont="1" applyFill="1" applyBorder="1" applyAlignment="1" applyProtection="1"/>
    <xf numFmtId="0" fontId="0" fillId="0" borderId="3" xfId="3" applyNumberFormat="1" applyFont="1" applyFill="1" applyBorder="1" applyAlignment="1" applyProtection="1"/>
    <xf numFmtId="0" fontId="0" fillId="0" borderId="3" xfId="0" applyNumberFormat="1" applyFont="1" applyFill="1" applyBorder="1" applyAlignment="1" applyProtection="1"/>
    <xf numFmtId="49" fontId="0" fillId="0" borderId="4" xfId="0" applyNumberFormat="1" applyFont="1" applyFill="1" applyBorder="1" applyAlignment="1" applyProtection="1">
      <alignment horizontal="center"/>
    </xf>
    <xf numFmtId="3" fontId="0" fillId="0" borderId="5" xfId="0" applyNumberFormat="1" applyBorder="1" applyAlignment="1"/>
    <xf numFmtId="3" fontId="0" fillId="0" borderId="6" xfId="0" applyNumberFormat="1" applyBorder="1" applyAlignment="1"/>
    <xf numFmtId="49" fontId="0" fillId="0" borderId="4" xfId="0" applyNumberFormat="1" applyFont="1" applyBorder="1" applyAlignment="1">
      <alignment horizontal="center"/>
    </xf>
    <xf numFmtId="3" fontId="0" fillId="0" borderId="7" xfId="0" applyNumberFormat="1" applyBorder="1" applyAlignment="1"/>
    <xf numFmtId="49" fontId="0" fillId="0" borderId="8" xfId="0" applyNumberFormat="1" applyFont="1" applyBorder="1" applyAlignment="1">
      <alignment horizontal="center"/>
    </xf>
    <xf numFmtId="3" fontId="0" fillId="0" borderId="9" xfId="0" applyNumberFormat="1" applyBorder="1" applyAlignment="1"/>
    <xf numFmtId="0" fontId="0" fillId="0" borderId="4" xfId="2" applyFont="1" applyBorder="1" applyAlignment="1">
      <alignment horizontal="center"/>
    </xf>
    <xf numFmtId="164" fontId="0" fillId="0" borderId="4" xfId="2" applyNumberFormat="1" applyFont="1" applyBorder="1" applyAlignment="1">
      <alignment horizontal="center"/>
    </xf>
    <xf numFmtId="0" fontId="0" fillId="0" borderId="4" xfId="2" applyNumberFormat="1" applyFont="1" applyFill="1" applyBorder="1" applyAlignment="1" applyProtection="1">
      <alignment horizontal="center"/>
    </xf>
    <xf numFmtId="0" fontId="0" fillId="0" borderId="8" xfId="2" applyNumberFormat="1" applyFont="1" applyFill="1" applyBorder="1" applyAlignment="1" applyProtection="1">
      <alignment horizontal="center"/>
    </xf>
    <xf numFmtId="3" fontId="0" fillId="0" borderId="10" xfId="0" applyNumberFormat="1" applyBorder="1" applyAlignment="1"/>
    <xf numFmtId="49" fontId="0" fillId="0" borderId="8" xfId="0" applyNumberFormat="1" applyFont="1" applyFill="1" applyBorder="1" applyAlignment="1" applyProtection="1">
      <alignment horizontal="center"/>
    </xf>
    <xf numFmtId="49" fontId="2" fillId="0" borderId="0" xfId="0" applyNumberFormat="1" applyFont="1"/>
    <xf numFmtId="1" fontId="0" fillId="0" borderId="3" xfId="0" applyNumberFormat="1" applyBorder="1" applyAlignment="1"/>
    <xf numFmtId="49" fontId="0" fillId="0" borderId="11" xfId="0" applyNumberFormat="1" applyBorder="1" applyAlignment="1">
      <alignment horizontal="center"/>
    </xf>
    <xf numFmtId="3" fontId="0" fillId="0" borderId="12" xfId="0" applyNumberFormat="1" applyBorder="1"/>
    <xf numFmtId="49" fontId="0" fillId="0" borderId="13" xfId="0" applyNumberFormat="1" applyBorder="1" applyAlignment="1">
      <alignment horizontal="center"/>
    </xf>
    <xf numFmtId="3" fontId="0" fillId="0" borderId="0" xfId="0" applyNumberFormat="1"/>
    <xf numFmtId="3" fontId="0" fillId="0" borderId="14" xfId="0" applyNumberFormat="1" applyBorder="1"/>
    <xf numFmtId="3" fontId="0" fillId="0" borderId="15" xfId="0" applyNumberFormat="1" applyBorder="1"/>
    <xf numFmtId="49" fontId="4" fillId="0" borderId="0" xfId="0" applyNumberFormat="1" applyFont="1" applyAlignment="1">
      <alignment horizontal="center" vertical="center" wrapText="1"/>
    </xf>
    <xf numFmtId="0" fontId="2" fillId="0" borderId="0" xfId="0" applyFont="1"/>
    <xf numFmtId="0" fontId="5" fillId="0" borderId="0" xfId="1"/>
    <xf numFmtId="2" fontId="0" fillId="0" borderId="0" xfId="0" applyNumberFormat="1"/>
    <xf numFmtId="1" fontId="0" fillId="0" borderId="0" xfId="0" applyNumberFormat="1"/>
    <xf numFmtId="49" fontId="2" fillId="0" borderId="0" xfId="0" applyNumberFormat="1" applyFont="1" applyFill="1" applyBorder="1" applyAlignment="1" applyProtection="1">
      <alignment horizontal="center" vertical="center"/>
    </xf>
    <xf numFmtId="3" fontId="0" fillId="0" borderId="0" xfId="0" applyNumberFormat="1" applyBorder="1" applyAlignment="1"/>
    <xf numFmtId="0" fontId="0" fillId="0" borderId="0" xfId="0" applyAlignment="1">
      <alignment wrapText="1"/>
    </xf>
    <xf numFmtId="2" fontId="2" fillId="0" borderId="0" xfId="0" applyNumberFormat="1" applyFont="1" applyFill="1" applyBorder="1" applyAlignment="1" applyProtection="1">
      <alignment horizontal="center" vertical="center"/>
    </xf>
    <xf numFmtId="2" fontId="0" fillId="0" borderId="0" xfId="0" applyNumberFormat="1" applyBorder="1" applyAlignment="1"/>
    <xf numFmtId="0" fontId="3" fillId="0" borderId="0" xfId="4"/>
    <xf numFmtId="1" fontId="3" fillId="0" borderId="0" xfId="4" applyNumberFormat="1"/>
    <xf numFmtId="2" fontId="3" fillId="0" borderId="0" xfId="4" applyNumberFormat="1"/>
    <xf numFmtId="49" fontId="2" fillId="0" borderId="0" xfId="4" applyNumberFormat="1" applyFont="1" applyFill="1" applyBorder="1" applyAlignment="1" applyProtection="1">
      <alignment horizontal="center" vertical="center"/>
    </xf>
    <xf numFmtId="2" fontId="2" fillId="0" borderId="0" xfId="4" applyNumberFormat="1" applyFont="1" applyFill="1" applyBorder="1" applyAlignment="1" applyProtection="1">
      <alignment horizontal="center" vertical="center"/>
    </xf>
    <xf numFmtId="3" fontId="3" fillId="0" borderId="0" xfId="4" applyNumberFormat="1" applyBorder="1" applyAlignment="1"/>
    <xf numFmtId="2" fontId="3" fillId="0" borderId="0" xfId="4" applyNumberFormat="1" applyBorder="1" applyAlignment="1"/>
    <xf numFmtId="2" fontId="3" fillId="2" borderId="0" xfId="4" applyNumberFormat="1" applyFill="1"/>
    <xf numFmtId="0" fontId="1" fillId="0" borderId="0" xfId="0" applyNumberFormat="1" applyFont="1" applyFill="1" applyBorder="1" applyAlignment="1" applyProtection="1">
      <alignment horizontal="center" vertical="center" wrapText="1"/>
    </xf>
    <xf numFmtId="3" fontId="0" fillId="0" borderId="0" xfId="0" applyNumberFormat="1" applyBorder="1"/>
    <xf numFmtId="0" fontId="0" fillId="0" borderId="0" xfId="0" applyNumberFormat="1" applyFont="1" applyFill="1" applyBorder="1" applyAlignment="1" applyProtection="1"/>
    <xf numFmtId="0" fontId="4" fillId="0" borderId="16" xfId="0" applyFont="1" applyBorder="1" applyAlignment="1">
      <alignment horizontal="center" vertical="center" wrapText="1"/>
    </xf>
    <xf numFmtId="0" fontId="1" fillId="0" borderId="18" xfId="0" applyNumberFormat="1" applyFont="1" applyFill="1" applyBorder="1" applyAlignment="1" applyProtection="1">
      <alignment horizontal="center" vertical="center" wrapText="1"/>
    </xf>
    <xf numFmtId="49" fontId="4" fillId="0" borderId="0" xfId="0" applyNumberFormat="1" applyFont="1" applyAlignment="1">
      <alignment horizontal="center" vertical="center" wrapText="1"/>
    </xf>
    <xf numFmtId="49" fontId="2" fillId="0" borderId="11" xfId="0" applyNumberFormat="1" applyFont="1" applyBorder="1" applyAlignment="1">
      <alignment horizontal="center" vertical="center" wrapText="1"/>
    </xf>
    <xf numFmtId="49" fontId="2" fillId="0" borderId="12"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 xfId="0" applyNumberFormat="1" applyFont="1" applyFill="1" applyBorder="1" applyAlignment="1" applyProtection="1">
      <alignment horizontal="center" vertical="center" wrapText="1"/>
    </xf>
    <xf numFmtId="49" fontId="2" fillId="0" borderId="3" xfId="0" applyNumberFormat="1" applyFont="1" applyFill="1" applyBorder="1" applyAlignment="1" applyProtection="1">
      <alignment horizontal="center" vertical="center"/>
    </xf>
    <xf numFmtId="49" fontId="2" fillId="0" borderId="22" xfId="0" applyNumberFormat="1" applyFont="1" applyFill="1" applyBorder="1" applyAlignment="1" applyProtection="1">
      <alignment horizontal="center" vertical="center"/>
    </xf>
    <xf numFmtId="49" fontId="2" fillId="0" borderId="23" xfId="0" applyNumberFormat="1" applyFont="1" applyFill="1" applyBorder="1" applyAlignment="1" applyProtection="1">
      <alignment horizontal="center" vertical="center"/>
    </xf>
    <xf numFmtId="49" fontId="2" fillId="0" borderId="9" xfId="0" applyNumberFormat="1" applyFont="1" applyFill="1" applyBorder="1" applyAlignment="1" applyProtection="1">
      <alignment horizontal="center" vertical="center"/>
    </xf>
    <xf numFmtId="49" fontId="2" fillId="0" borderId="20" xfId="0" applyNumberFormat="1" applyFont="1" applyFill="1" applyBorder="1" applyAlignment="1" applyProtection="1">
      <alignment horizontal="center" vertical="center" wrapText="1"/>
    </xf>
    <xf numFmtId="49" fontId="2" fillId="0" borderId="21" xfId="0" applyNumberFormat="1" applyFont="1" applyFill="1" applyBorder="1" applyAlignment="1" applyProtection="1">
      <alignment horizontal="center" vertical="center" wrapText="1"/>
    </xf>
    <xf numFmtId="49" fontId="1" fillId="0" borderId="0" xfId="0" applyNumberFormat="1" applyFont="1" applyFill="1" applyBorder="1" applyAlignment="1" applyProtection="1">
      <alignment horizontal="center" vertical="center" wrapText="1"/>
    </xf>
    <xf numFmtId="49" fontId="1" fillId="0" borderId="19" xfId="0" applyNumberFormat="1" applyFont="1" applyFill="1" applyBorder="1" applyAlignment="1" applyProtection="1">
      <alignment horizontal="center" vertical="center" wrapText="1"/>
    </xf>
    <xf numFmtId="0" fontId="0" fillId="0" borderId="0" xfId="0" applyAlignment="1"/>
    <xf numFmtId="2" fontId="0" fillId="0" borderId="0" xfId="0" applyNumberFormat="1" applyFill="1"/>
    <xf numFmtId="2" fontId="3" fillId="0" borderId="0" xfId="4" applyNumberFormat="1" applyFill="1"/>
  </cellXfs>
  <cellStyles count="5">
    <cellStyle name="Hiperlink" xfId="1" builtinId="8"/>
    <cellStyle name="Normal" xfId="0" builtinId="0"/>
    <cellStyle name="Normal 2" xfId="4"/>
    <cellStyle name="Normal_Trabalho 2 - Corrigido" xfId="2"/>
    <cellStyle name="Porcentagem"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nTEMx:</a:t>
            </a:r>
            <a:r>
              <a:rPr lang="pt-BR" baseline="0"/>
              <a:t> Taxa específica de mortalidade por idade</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cked"/>
        <c:varyColors val="0"/>
        <c:ser>
          <c:idx val="0"/>
          <c:order val="0"/>
          <c:spPr>
            <a:ln w="28575" cap="rnd">
              <a:solidFill>
                <a:schemeClr val="accent1"/>
              </a:solidFill>
              <a:round/>
            </a:ln>
            <a:effectLst/>
          </c:spPr>
          <c:marker>
            <c:symbol val="none"/>
          </c:marker>
          <c:cat>
            <c:strRef>
              <c:f>'Nova Zelândia'!$G$38:$G$55</c:f>
              <c:strCache>
                <c:ptCount val="18"/>
                <c:pt idx="0">
                  <c:v>&lt;1</c:v>
                </c:pt>
                <c:pt idx="1">
                  <c:v>1  -  4</c:v>
                </c:pt>
                <c:pt idx="2">
                  <c:v>5  -  9</c:v>
                </c:pt>
                <c:pt idx="3">
                  <c:v>10 - 14</c:v>
                </c:pt>
                <c:pt idx="4">
                  <c:v>15  - 19</c:v>
                </c:pt>
                <c:pt idx="5">
                  <c:v>20  - 24</c:v>
                </c:pt>
                <c:pt idx="6">
                  <c:v>25  - 29</c:v>
                </c:pt>
                <c:pt idx="7">
                  <c:v>30  - 34</c:v>
                </c:pt>
                <c:pt idx="8">
                  <c:v>35  - 39</c:v>
                </c:pt>
                <c:pt idx="9">
                  <c:v>40  - 44</c:v>
                </c:pt>
                <c:pt idx="10">
                  <c:v>45  - 49</c:v>
                </c:pt>
                <c:pt idx="11">
                  <c:v>50  - 54</c:v>
                </c:pt>
                <c:pt idx="12">
                  <c:v>55  - 59</c:v>
                </c:pt>
                <c:pt idx="13">
                  <c:v>60  - 64</c:v>
                </c:pt>
                <c:pt idx="14">
                  <c:v>65  - 69</c:v>
                </c:pt>
                <c:pt idx="15">
                  <c:v>70  - 74</c:v>
                </c:pt>
                <c:pt idx="16">
                  <c:v>75  - 79</c:v>
                </c:pt>
                <c:pt idx="17">
                  <c:v>80+</c:v>
                </c:pt>
              </c:strCache>
            </c:strRef>
          </c:cat>
          <c:val>
            <c:numRef>
              <c:f>'Nova Zelândia'!$K$38:$K$55</c:f>
              <c:numCache>
                <c:formatCode>0.00</c:formatCode>
                <c:ptCount val="18"/>
                <c:pt idx="0">
                  <c:v>3.9145907473309611</c:v>
                </c:pt>
                <c:pt idx="1">
                  <c:v>0.14613354982748125</c:v>
                </c:pt>
                <c:pt idx="2">
                  <c:v>7.3001581700936846E-2</c:v>
                </c:pt>
                <c:pt idx="3">
                  <c:v>0.12640322629187106</c:v>
                </c:pt>
                <c:pt idx="4">
                  <c:v>0.38693846734616838</c:v>
                </c:pt>
                <c:pt idx="5">
                  <c:v>0.50494610955263541</c:v>
                </c:pt>
                <c:pt idx="6">
                  <c:v>0.53636220224010089</c:v>
                </c:pt>
                <c:pt idx="7">
                  <c:v>0.53875844322933419</c:v>
                </c:pt>
                <c:pt idx="8">
                  <c:v>0.7705402741689813</c:v>
                </c:pt>
                <c:pt idx="9">
                  <c:v>1.1379109122738766</c:v>
                </c:pt>
                <c:pt idx="10">
                  <c:v>1.7988971585259288</c:v>
                </c:pt>
                <c:pt idx="11">
                  <c:v>2.8156054471843945</c:v>
                </c:pt>
                <c:pt idx="12">
                  <c:v>4.2747904062893465</c:v>
                </c:pt>
                <c:pt idx="13">
                  <c:v>6.2254395036194419</c:v>
                </c:pt>
                <c:pt idx="14">
                  <c:v>9.7698126946882962</c:v>
                </c:pt>
                <c:pt idx="15">
                  <c:v>15.397655036022037</c:v>
                </c:pt>
                <c:pt idx="16">
                  <c:v>27.434776669853843</c:v>
                </c:pt>
                <c:pt idx="17">
                  <c:v>124.27042801556421</c:v>
                </c:pt>
              </c:numCache>
            </c:numRef>
          </c:val>
          <c:smooth val="0"/>
          <c:extLst>
            <c:ext xmlns:c16="http://schemas.microsoft.com/office/drawing/2014/chart" uri="{C3380CC4-5D6E-409C-BE32-E72D297353CC}">
              <c16:uniqueId val="{00000000-2C49-4DF9-87C0-B82367731D3C}"/>
            </c:ext>
          </c:extLst>
        </c:ser>
        <c:dLbls>
          <c:showLegendKey val="0"/>
          <c:showVal val="0"/>
          <c:showCatName val="0"/>
          <c:showSerName val="0"/>
          <c:showPercent val="0"/>
          <c:showBubbleSize val="0"/>
        </c:dLbls>
        <c:smooth val="0"/>
        <c:axId val="1315993088"/>
        <c:axId val="1315994752"/>
      </c:lineChart>
      <c:catAx>
        <c:axId val="13159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4752"/>
        <c:crosses val="autoZero"/>
        <c:auto val="1"/>
        <c:lblAlgn val="ctr"/>
        <c:lblOffset val="100"/>
        <c:noMultiLvlLbl val="0"/>
      </c:catAx>
      <c:valAx>
        <c:axId val="1315994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30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nISMx:</a:t>
            </a:r>
            <a:r>
              <a:rPr lang="pt-BR" baseline="0"/>
              <a:t> Índice de sobremortalidade masculina por idade</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cked"/>
        <c:varyColors val="0"/>
        <c:ser>
          <c:idx val="0"/>
          <c:order val="0"/>
          <c:spPr>
            <a:ln w="28575" cap="rnd">
              <a:solidFill>
                <a:schemeClr val="accent1"/>
              </a:solidFill>
              <a:round/>
            </a:ln>
            <a:effectLst/>
          </c:spPr>
          <c:marker>
            <c:symbol val="none"/>
          </c:marker>
          <c:cat>
            <c:strRef>
              <c:f>'Nova Zelândia'!$G$38:$G$55</c:f>
              <c:strCache>
                <c:ptCount val="18"/>
                <c:pt idx="0">
                  <c:v>&lt;1</c:v>
                </c:pt>
                <c:pt idx="1">
                  <c:v>1  -  4</c:v>
                </c:pt>
                <c:pt idx="2">
                  <c:v>5  -  9</c:v>
                </c:pt>
                <c:pt idx="3">
                  <c:v>10 - 14</c:v>
                </c:pt>
                <c:pt idx="4">
                  <c:v>15  - 19</c:v>
                </c:pt>
                <c:pt idx="5">
                  <c:v>20  - 24</c:v>
                </c:pt>
                <c:pt idx="6">
                  <c:v>25  - 29</c:v>
                </c:pt>
                <c:pt idx="7">
                  <c:v>30  - 34</c:v>
                </c:pt>
                <c:pt idx="8">
                  <c:v>35  - 39</c:v>
                </c:pt>
                <c:pt idx="9">
                  <c:v>40  - 44</c:v>
                </c:pt>
                <c:pt idx="10">
                  <c:v>45  - 49</c:v>
                </c:pt>
                <c:pt idx="11">
                  <c:v>50  - 54</c:v>
                </c:pt>
                <c:pt idx="12">
                  <c:v>55  - 59</c:v>
                </c:pt>
                <c:pt idx="13">
                  <c:v>60  - 64</c:v>
                </c:pt>
                <c:pt idx="14">
                  <c:v>65  - 69</c:v>
                </c:pt>
                <c:pt idx="15">
                  <c:v>70  - 74</c:v>
                </c:pt>
                <c:pt idx="16">
                  <c:v>75  - 79</c:v>
                </c:pt>
                <c:pt idx="17">
                  <c:v>80+</c:v>
                </c:pt>
              </c:strCache>
            </c:strRef>
          </c:cat>
          <c:val>
            <c:numRef>
              <c:f>'Nova Zelândia'!$J$38:$J$55</c:f>
              <c:numCache>
                <c:formatCode>0.00</c:formatCode>
                <c:ptCount val="18"/>
                <c:pt idx="0">
                  <c:v>1.3561605359520639</c:v>
                </c:pt>
                <c:pt idx="1">
                  <c:v>0.94543157229724395</c:v>
                </c:pt>
                <c:pt idx="2">
                  <c:v>6.6447290406735444</c:v>
                </c:pt>
                <c:pt idx="3">
                  <c:v>1.7002399484988588</c:v>
                </c:pt>
                <c:pt idx="4">
                  <c:v>1.6440848351109476</c:v>
                </c:pt>
                <c:pt idx="5">
                  <c:v>1.7204251438992422</c:v>
                </c:pt>
                <c:pt idx="6">
                  <c:v>2.2962802901682355</c:v>
                </c:pt>
                <c:pt idx="7">
                  <c:v>1.8018766912173181</c:v>
                </c:pt>
                <c:pt idx="8">
                  <c:v>1.631100920108866</c:v>
                </c:pt>
                <c:pt idx="9">
                  <c:v>1.6934356668552544</c:v>
                </c:pt>
                <c:pt idx="10">
                  <c:v>1.6905081904490156</c:v>
                </c:pt>
                <c:pt idx="11">
                  <c:v>1.3956970406382629</c:v>
                </c:pt>
                <c:pt idx="12">
                  <c:v>1.3054627943882469</c:v>
                </c:pt>
                <c:pt idx="13">
                  <c:v>1.546389492275523</c:v>
                </c:pt>
                <c:pt idx="14">
                  <c:v>1.4666968125202706</c:v>
                </c:pt>
                <c:pt idx="15">
                  <c:v>1.483038195660306</c:v>
                </c:pt>
                <c:pt idx="16">
                  <c:v>1.5385743556562064</c:v>
                </c:pt>
                <c:pt idx="17">
                  <c:v>1.0404318419625342</c:v>
                </c:pt>
              </c:numCache>
            </c:numRef>
          </c:val>
          <c:smooth val="0"/>
          <c:extLst>
            <c:ext xmlns:c16="http://schemas.microsoft.com/office/drawing/2014/chart" uri="{C3380CC4-5D6E-409C-BE32-E72D297353CC}">
              <c16:uniqueId val="{00000000-2BEF-4348-8890-DEAA3BD95B36}"/>
            </c:ext>
          </c:extLst>
        </c:ser>
        <c:dLbls>
          <c:showLegendKey val="0"/>
          <c:showVal val="0"/>
          <c:showCatName val="0"/>
          <c:showSerName val="0"/>
          <c:showPercent val="0"/>
          <c:showBubbleSize val="0"/>
        </c:dLbls>
        <c:smooth val="0"/>
        <c:axId val="1315993088"/>
        <c:axId val="1315994752"/>
      </c:lineChart>
      <c:catAx>
        <c:axId val="13159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4752"/>
        <c:crosses val="autoZero"/>
        <c:auto val="1"/>
        <c:lblAlgn val="ctr"/>
        <c:lblOffset val="100"/>
        <c:noMultiLvlLbl val="0"/>
      </c:catAx>
      <c:valAx>
        <c:axId val="1315994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30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nTEFx</a:t>
            </a:r>
            <a:r>
              <a:rPr lang="pt-BR" baseline="0"/>
              <a:t>: Taxa específica de fecundidade por idade da mãe</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strRef>
              <c:f>'Nova Zelândia'!$R$39:$R$45</c:f>
              <c:strCache>
                <c:ptCount val="7"/>
                <c:pt idx="0">
                  <c:v>15 - 19</c:v>
                </c:pt>
                <c:pt idx="1">
                  <c:v>20  - 24</c:v>
                </c:pt>
                <c:pt idx="2">
                  <c:v>25  - 29</c:v>
                </c:pt>
                <c:pt idx="3">
                  <c:v>30  - 34</c:v>
                </c:pt>
                <c:pt idx="4">
                  <c:v>35  - 39</c:v>
                </c:pt>
                <c:pt idx="5">
                  <c:v>40  - 44</c:v>
                </c:pt>
                <c:pt idx="6">
                  <c:v>45  - 49</c:v>
                </c:pt>
              </c:strCache>
            </c:strRef>
          </c:cat>
          <c:val>
            <c:numRef>
              <c:f>'Nova Zelândia'!$S$39:$S$45</c:f>
              <c:numCache>
                <c:formatCode>0.00</c:formatCode>
                <c:ptCount val="7"/>
                <c:pt idx="0">
                  <c:v>12.155874369910817</c:v>
                </c:pt>
                <c:pt idx="1">
                  <c:v>48.884667238632183</c:v>
                </c:pt>
                <c:pt idx="2">
                  <c:v>84.449104694305532</c:v>
                </c:pt>
                <c:pt idx="3">
                  <c:v>104.3192387876196</c:v>
                </c:pt>
                <c:pt idx="4">
                  <c:v>60.654377333886551</c:v>
                </c:pt>
                <c:pt idx="5">
                  <c:v>13.420191258584174</c:v>
                </c:pt>
                <c:pt idx="6">
                  <c:v>0.84930698908876445</c:v>
                </c:pt>
              </c:numCache>
            </c:numRef>
          </c:val>
          <c:smooth val="0"/>
          <c:extLst>
            <c:ext xmlns:c16="http://schemas.microsoft.com/office/drawing/2014/chart" uri="{C3380CC4-5D6E-409C-BE32-E72D297353CC}">
              <c16:uniqueId val="{00000000-D132-4FCB-AF5C-BAFC1729D568}"/>
            </c:ext>
          </c:extLst>
        </c:ser>
        <c:dLbls>
          <c:showLegendKey val="0"/>
          <c:showVal val="0"/>
          <c:showCatName val="0"/>
          <c:showSerName val="0"/>
          <c:showPercent val="0"/>
          <c:showBubbleSize val="0"/>
        </c:dLbls>
        <c:smooth val="0"/>
        <c:axId val="1360680544"/>
        <c:axId val="1360673056"/>
      </c:lineChart>
      <c:catAx>
        <c:axId val="13606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0673056"/>
        <c:crosses val="autoZero"/>
        <c:auto val="1"/>
        <c:lblAlgn val="ctr"/>
        <c:lblOffset val="100"/>
        <c:noMultiLvlLbl val="0"/>
      </c:catAx>
      <c:valAx>
        <c:axId val="1360673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0680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nTEMx:</a:t>
            </a:r>
            <a:r>
              <a:rPr lang="pt-BR" baseline="0"/>
              <a:t> Taxa específica de mortalidade por idade (2021)</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cked"/>
        <c:varyColors val="0"/>
        <c:ser>
          <c:idx val="0"/>
          <c:order val="0"/>
          <c:spPr>
            <a:ln w="28575" cap="rnd">
              <a:solidFill>
                <a:schemeClr val="accent1"/>
              </a:solidFill>
              <a:round/>
            </a:ln>
            <a:effectLst/>
          </c:spPr>
          <c:marker>
            <c:symbol val="none"/>
          </c:marker>
          <c:cat>
            <c:strRef>
              <c:f>Palmas!$G$38:$G$55</c:f>
              <c:strCache>
                <c:ptCount val="18"/>
                <c:pt idx="0">
                  <c:v>&lt;1</c:v>
                </c:pt>
                <c:pt idx="1">
                  <c:v>1  -  4</c:v>
                </c:pt>
                <c:pt idx="2">
                  <c:v>5  -  9</c:v>
                </c:pt>
                <c:pt idx="3">
                  <c:v>10 - 14</c:v>
                </c:pt>
                <c:pt idx="4">
                  <c:v>15  - 19</c:v>
                </c:pt>
                <c:pt idx="5">
                  <c:v>20  - 24</c:v>
                </c:pt>
                <c:pt idx="6">
                  <c:v>25  - 29</c:v>
                </c:pt>
                <c:pt idx="7">
                  <c:v>30  - 34</c:v>
                </c:pt>
                <c:pt idx="8">
                  <c:v>35  - 39</c:v>
                </c:pt>
                <c:pt idx="9">
                  <c:v>40  - 44</c:v>
                </c:pt>
                <c:pt idx="10">
                  <c:v>45  - 49</c:v>
                </c:pt>
                <c:pt idx="11">
                  <c:v>50  - 54</c:v>
                </c:pt>
                <c:pt idx="12">
                  <c:v>55  - 59</c:v>
                </c:pt>
                <c:pt idx="13">
                  <c:v>60  - 64</c:v>
                </c:pt>
                <c:pt idx="14">
                  <c:v>65  - 69</c:v>
                </c:pt>
                <c:pt idx="15">
                  <c:v>70  - 74</c:v>
                </c:pt>
                <c:pt idx="16">
                  <c:v>75  - 79</c:v>
                </c:pt>
                <c:pt idx="17">
                  <c:v>80+</c:v>
                </c:pt>
              </c:strCache>
            </c:strRef>
          </c:cat>
          <c:val>
            <c:numRef>
              <c:f>Palmas!$K$38:$K$55</c:f>
              <c:numCache>
                <c:formatCode>0.00</c:formatCode>
                <c:ptCount val="18"/>
                <c:pt idx="0">
                  <c:v>7.714561234329798</c:v>
                </c:pt>
                <c:pt idx="1">
                  <c:v>0.97560975609756095</c:v>
                </c:pt>
                <c:pt idx="2">
                  <c:v>0</c:v>
                </c:pt>
                <c:pt idx="3">
                  <c:v>0.23752969121140141</c:v>
                </c:pt>
                <c:pt idx="4">
                  <c:v>1.1299435028248588</c:v>
                </c:pt>
                <c:pt idx="5">
                  <c:v>2.0214271275520521</c:v>
                </c:pt>
                <c:pt idx="6">
                  <c:v>3.0547676194632336</c:v>
                </c:pt>
                <c:pt idx="7">
                  <c:v>2.8054067839836776</c:v>
                </c:pt>
                <c:pt idx="8">
                  <c:v>4.3126684636118604</c:v>
                </c:pt>
                <c:pt idx="9">
                  <c:v>4.0697674418604652</c:v>
                </c:pt>
                <c:pt idx="10">
                  <c:v>10.045366169799093</c:v>
                </c:pt>
                <c:pt idx="11">
                  <c:v>12.141280353200882</c:v>
                </c:pt>
                <c:pt idx="12">
                  <c:v>20.408163265306122</c:v>
                </c:pt>
                <c:pt idx="13">
                  <c:v>25.252525252525253</c:v>
                </c:pt>
                <c:pt idx="14">
                  <c:v>29.520295202952028</c:v>
                </c:pt>
                <c:pt idx="15">
                  <c:v>55.242390078917701</c:v>
                </c:pt>
                <c:pt idx="16">
                  <c:v>64.297800338409473</c:v>
                </c:pt>
                <c:pt idx="17">
                  <c:v>135.78274760383385</c:v>
                </c:pt>
              </c:numCache>
            </c:numRef>
          </c:val>
          <c:smooth val="0"/>
          <c:extLst>
            <c:ext xmlns:c16="http://schemas.microsoft.com/office/drawing/2014/chart" uri="{C3380CC4-5D6E-409C-BE32-E72D297353CC}">
              <c16:uniqueId val="{00000000-EA36-4500-A603-872D56517C67}"/>
            </c:ext>
          </c:extLst>
        </c:ser>
        <c:dLbls>
          <c:showLegendKey val="0"/>
          <c:showVal val="0"/>
          <c:showCatName val="0"/>
          <c:showSerName val="0"/>
          <c:showPercent val="0"/>
          <c:showBubbleSize val="0"/>
        </c:dLbls>
        <c:smooth val="0"/>
        <c:axId val="1315993088"/>
        <c:axId val="1315994752"/>
      </c:lineChart>
      <c:catAx>
        <c:axId val="13159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4752"/>
        <c:crosses val="autoZero"/>
        <c:auto val="1"/>
        <c:lblAlgn val="ctr"/>
        <c:lblOffset val="100"/>
        <c:noMultiLvlLbl val="0"/>
      </c:catAx>
      <c:valAx>
        <c:axId val="1315994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30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nISMx:</a:t>
            </a:r>
            <a:r>
              <a:rPr lang="pt-BR" baseline="0"/>
              <a:t> Índice de sobremortalidade masculina por idade (2021)</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cked"/>
        <c:varyColors val="0"/>
        <c:ser>
          <c:idx val="0"/>
          <c:order val="0"/>
          <c:spPr>
            <a:ln w="28575" cap="rnd">
              <a:solidFill>
                <a:schemeClr val="accent1"/>
              </a:solidFill>
              <a:round/>
            </a:ln>
            <a:effectLst/>
          </c:spPr>
          <c:marker>
            <c:symbol val="none"/>
          </c:marker>
          <c:cat>
            <c:strRef>
              <c:f>Palmas!$G$38:$G$55</c:f>
              <c:strCache>
                <c:ptCount val="18"/>
                <c:pt idx="0">
                  <c:v>&lt;1</c:v>
                </c:pt>
                <c:pt idx="1">
                  <c:v>1  -  4</c:v>
                </c:pt>
                <c:pt idx="2">
                  <c:v>5  -  9</c:v>
                </c:pt>
                <c:pt idx="3">
                  <c:v>10 - 14</c:v>
                </c:pt>
                <c:pt idx="4">
                  <c:v>15  - 19</c:v>
                </c:pt>
                <c:pt idx="5">
                  <c:v>20  - 24</c:v>
                </c:pt>
                <c:pt idx="6">
                  <c:v>25  - 29</c:v>
                </c:pt>
                <c:pt idx="7">
                  <c:v>30  - 34</c:v>
                </c:pt>
                <c:pt idx="8">
                  <c:v>35  - 39</c:v>
                </c:pt>
                <c:pt idx="9">
                  <c:v>40  - 44</c:v>
                </c:pt>
                <c:pt idx="10">
                  <c:v>45  - 49</c:v>
                </c:pt>
                <c:pt idx="11">
                  <c:v>50  - 54</c:v>
                </c:pt>
                <c:pt idx="12">
                  <c:v>55  - 59</c:v>
                </c:pt>
                <c:pt idx="13">
                  <c:v>60  - 64</c:v>
                </c:pt>
                <c:pt idx="14">
                  <c:v>65  - 69</c:v>
                </c:pt>
                <c:pt idx="15">
                  <c:v>70  - 74</c:v>
                </c:pt>
                <c:pt idx="16">
                  <c:v>75  - 79</c:v>
                </c:pt>
                <c:pt idx="17">
                  <c:v>80+</c:v>
                </c:pt>
              </c:strCache>
            </c:strRef>
          </c:cat>
          <c:val>
            <c:numRef>
              <c:f>Palmas!$J$38:$J$55</c:f>
              <c:numCache>
                <c:formatCode>0.00</c:formatCode>
                <c:ptCount val="18"/>
                <c:pt idx="0">
                  <c:v>2.8587570621468927</c:v>
                </c:pt>
                <c:pt idx="1">
                  <c:v>0.95238095238095233</c:v>
                </c:pt>
                <c:pt idx="2">
                  <c:v>0</c:v>
                </c:pt>
                <c:pt idx="3">
                  <c:v>0</c:v>
                </c:pt>
                <c:pt idx="4">
                  <c:v>1.4022737210319198</c:v>
                </c:pt>
                <c:pt idx="5">
                  <c:v>1.4873188405797102</c:v>
                </c:pt>
                <c:pt idx="6">
                  <c:v>0.98570190641247835</c:v>
                </c:pt>
                <c:pt idx="7">
                  <c:v>2.6436431352632468</c:v>
                </c:pt>
                <c:pt idx="8">
                  <c:v>1.2912711275758277</c:v>
                </c:pt>
                <c:pt idx="9">
                  <c:v>1.3552168815943726</c:v>
                </c:pt>
                <c:pt idx="10">
                  <c:v>2.0065687550350129</c:v>
                </c:pt>
                <c:pt idx="11">
                  <c:v>1.6781065088757399</c:v>
                </c:pt>
                <c:pt idx="12">
                  <c:v>1.0907405977295543</c:v>
                </c:pt>
                <c:pt idx="13">
                  <c:v>1.3767688679245285</c:v>
                </c:pt>
                <c:pt idx="14">
                  <c:v>1.7498739283913263</c:v>
                </c:pt>
                <c:pt idx="15">
                  <c:v>2.0186915887850465</c:v>
                </c:pt>
                <c:pt idx="16">
                  <c:v>1.6016483516483517</c:v>
                </c:pt>
                <c:pt idx="17">
                  <c:v>0.7098930481283422</c:v>
                </c:pt>
              </c:numCache>
            </c:numRef>
          </c:val>
          <c:smooth val="0"/>
          <c:extLst>
            <c:ext xmlns:c16="http://schemas.microsoft.com/office/drawing/2014/chart" uri="{C3380CC4-5D6E-409C-BE32-E72D297353CC}">
              <c16:uniqueId val="{00000000-7E5A-4401-8BB3-A8FAF1044069}"/>
            </c:ext>
          </c:extLst>
        </c:ser>
        <c:dLbls>
          <c:showLegendKey val="0"/>
          <c:showVal val="0"/>
          <c:showCatName val="0"/>
          <c:showSerName val="0"/>
          <c:showPercent val="0"/>
          <c:showBubbleSize val="0"/>
        </c:dLbls>
        <c:smooth val="0"/>
        <c:axId val="1315993088"/>
        <c:axId val="1315994752"/>
      </c:lineChart>
      <c:catAx>
        <c:axId val="13159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4752"/>
        <c:crosses val="autoZero"/>
        <c:auto val="1"/>
        <c:lblAlgn val="ctr"/>
        <c:lblOffset val="100"/>
        <c:noMultiLvlLbl val="0"/>
      </c:catAx>
      <c:valAx>
        <c:axId val="1315994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30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nTEFx</a:t>
            </a:r>
            <a:r>
              <a:rPr lang="pt-BR" baseline="0"/>
              <a:t>: Taxa específica de fecundidade por idade da mãe (2021)</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strRef>
              <c:f>Palmas!$R$39:$R$45</c:f>
              <c:strCache>
                <c:ptCount val="7"/>
                <c:pt idx="0">
                  <c:v>15 - 19</c:v>
                </c:pt>
                <c:pt idx="1">
                  <c:v>20  - 24</c:v>
                </c:pt>
                <c:pt idx="2">
                  <c:v>25  - 29</c:v>
                </c:pt>
                <c:pt idx="3">
                  <c:v>30  - 34</c:v>
                </c:pt>
                <c:pt idx="4">
                  <c:v>35  - 39</c:v>
                </c:pt>
                <c:pt idx="5">
                  <c:v>40  - 44</c:v>
                </c:pt>
                <c:pt idx="6">
                  <c:v>45  - 49</c:v>
                </c:pt>
              </c:strCache>
            </c:strRef>
          </c:cat>
          <c:val>
            <c:numRef>
              <c:f>Palmas!$S$39:$S$45</c:f>
              <c:numCache>
                <c:formatCode>0.00</c:formatCode>
                <c:ptCount val="7"/>
                <c:pt idx="0">
                  <c:v>88.400374181478014</c:v>
                </c:pt>
                <c:pt idx="1">
                  <c:v>91.352009744214371</c:v>
                </c:pt>
                <c:pt idx="2">
                  <c:v>81.758241758241752</c:v>
                </c:pt>
                <c:pt idx="3">
                  <c:v>61.475409836065573</c:v>
                </c:pt>
                <c:pt idx="4">
                  <c:v>35.502958579881657</c:v>
                </c:pt>
                <c:pt idx="5">
                  <c:v>16.724336793540942</c:v>
                </c:pt>
                <c:pt idx="6">
                  <c:v>0.61766522544780733</c:v>
                </c:pt>
              </c:numCache>
            </c:numRef>
          </c:val>
          <c:smooth val="0"/>
          <c:extLst>
            <c:ext xmlns:c16="http://schemas.microsoft.com/office/drawing/2014/chart" uri="{C3380CC4-5D6E-409C-BE32-E72D297353CC}">
              <c16:uniqueId val="{00000000-E906-48A0-AF0A-E3EC8503EB0C}"/>
            </c:ext>
          </c:extLst>
        </c:ser>
        <c:dLbls>
          <c:showLegendKey val="0"/>
          <c:showVal val="0"/>
          <c:showCatName val="0"/>
          <c:showSerName val="0"/>
          <c:showPercent val="0"/>
          <c:showBubbleSize val="0"/>
        </c:dLbls>
        <c:smooth val="0"/>
        <c:axId val="1360680544"/>
        <c:axId val="1360673056"/>
      </c:lineChart>
      <c:catAx>
        <c:axId val="13606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0673056"/>
        <c:crosses val="autoZero"/>
        <c:auto val="1"/>
        <c:lblAlgn val="ctr"/>
        <c:lblOffset val="100"/>
        <c:noMultiLvlLbl val="0"/>
      </c:catAx>
      <c:valAx>
        <c:axId val="1360673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0680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nTEMx:</a:t>
            </a:r>
            <a:r>
              <a:rPr lang="pt-BR" baseline="0"/>
              <a:t> Taxa específica de mortalidade por idade (2011)</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cked"/>
        <c:varyColors val="0"/>
        <c:ser>
          <c:idx val="0"/>
          <c:order val="0"/>
          <c:spPr>
            <a:ln w="28575" cap="rnd">
              <a:solidFill>
                <a:schemeClr val="accent1"/>
              </a:solidFill>
              <a:round/>
            </a:ln>
            <a:effectLst/>
          </c:spPr>
          <c:marker>
            <c:symbol val="none"/>
          </c:marker>
          <c:cat>
            <c:strRef>
              <c:f>Palmas!$G$96:$G$113</c:f>
              <c:strCache>
                <c:ptCount val="18"/>
                <c:pt idx="0">
                  <c:v>&lt;1</c:v>
                </c:pt>
                <c:pt idx="1">
                  <c:v>1  -  4</c:v>
                </c:pt>
                <c:pt idx="2">
                  <c:v>5  -  9</c:v>
                </c:pt>
                <c:pt idx="3">
                  <c:v>10 - 14</c:v>
                </c:pt>
                <c:pt idx="4">
                  <c:v>15  - 19</c:v>
                </c:pt>
                <c:pt idx="5">
                  <c:v>20  - 24</c:v>
                </c:pt>
                <c:pt idx="6">
                  <c:v>25  - 29</c:v>
                </c:pt>
                <c:pt idx="7">
                  <c:v>30  - 34</c:v>
                </c:pt>
                <c:pt idx="8">
                  <c:v>35  - 39</c:v>
                </c:pt>
                <c:pt idx="9">
                  <c:v>40  - 44</c:v>
                </c:pt>
                <c:pt idx="10">
                  <c:v>45  - 49</c:v>
                </c:pt>
                <c:pt idx="11">
                  <c:v>50  - 54</c:v>
                </c:pt>
                <c:pt idx="12">
                  <c:v>55  - 59</c:v>
                </c:pt>
                <c:pt idx="13">
                  <c:v>60  - 64</c:v>
                </c:pt>
                <c:pt idx="14">
                  <c:v>65  - 69</c:v>
                </c:pt>
                <c:pt idx="15">
                  <c:v>70  - 74</c:v>
                </c:pt>
                <c:pt idx="16">
                  <c:v>75  - 79</c:v>
                </c:pt>
                <c:pt idx="17">
                  <c:v>80+</c:v>
                </c:pt>
              </c:strCache>
            </c:strRef>
          </c:cat>
          <c:val>
            <c:numRef>
              <c:f>Palmas!$K$96:$K$113</c:f>
              <c:numCache>
                <c:formatCode>0.00</c:formatCode>
                <c:ptCount val="18"/>
                <c:pt idx="0">
                  <c:v>10.588235294117647</c:v>
                </c:pt>
                <c:pt idx="1">
                  <c:v>0.58428279287174989</c:v>
                </c:pt>
                <c:pt idx="2">
                  <c:v>0</c:v>
                </c:pt>
                <c:pt idx="3">
                  <c:v>0.41640641265875494</c:v>
                </c:pt>
                <c:pt idx="4">
                  <c:v>0.67430883344571813</c:v>
                </c:pt>
                <c:pt idx="5">
                  <c:v>2.3118417672745952</c:v>
                </c:pt>
                <c:pt idx="6">
                  <c:v>1.6277807921866521</c:v>
                </c:pt>
                <c:pt idx="7">
                  <c:v>2.5906735751295336</c:v>
                </c:pt>
                <c:pt idx="8">
                  <c:v>1.567398119122257</c:v>
                </c:pt>
                <c:pt idx="9">
                  <c:v>3.5100035100035103</c:v>
                </c:pt>
                <c:pt idx="10">
                  <c:v>7.3230268510984535</c:v>
                </c:pt>
                <c:pt idx="11">
                  <c:v>10.256410256410257</c:v>
                </c:pt>
                <c:pt idx="12">
                  <c:v>10.578718108276291</c:v>
                </c:pt>
                <c:pt idx="13">
                  <c:v>17.902813299232736</c:v>
                </c:pt>
                <c:pt idx="14">
                  <c:v>29.953917050691242</c:v>
                </c:pt>
                <c:pt idx="15">
                  <c:v>46.744574290484138</c:v>
                </c:pt>
                <c:pt idx="16">
                  <c:v>66.326530612244909</c:v>
                </c:pt>
                <c:pt idx="17">
                  <c:v>123.48668280871671</c:v>
                </c:pt>
              </c:numCache>
            </c:numRef>
          </c:val>
          <c:smooth val="0"/>
          <c:extLst>
            <c:ext xmlns:c16="http://schemas.microsoft.com/office/drawing/2014/chart" uri="{C3380CC4-5D6E-409C-BE32-E72D297353CC}">
              <c16:uniqueId val="{00000000-56D4-4026-B099-98FE2E3B6C16}"/>
            </c:ext>
          </c:extLst>
        </c:ser>
        <c:dLbls>
          <c:showLegendKey val="0"/>
          <c:showVal val="0"/>
          <c:showCatName val="0"/>
          <c:showSerName val="0"/>
          <c:showPercent val="0"/>
          <c:showBubbleSize val="0"/>
        </c:dLbls>
        <c:smooth val="0"/>
        <c:axId val="1315993088"/>
        <c:axId val="1315994752"/>
      </c:lineChart>
      <c:catAx>
        <c:axId val="13159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4752"/>
        <c:crosses val="autoZero"/>
        <c:auto val="1"/>
        <c:lblAlgn val="ctr"/>
        <c:lblOffset val="100"/>
        <c:noMultiLvlLbl val="0"/>
      </c:catAx>
      <c:valAx>
        <c:axId val="1315994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30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nISMx:</a:t>
            </a:r>
            <a:r>
              <a:rPr lang="pt-BR" baseline="0"/>
              <a:t> Índice de sobremortalidade masculina por idade (2011)</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cked"/>
        <c:varyColors val="0"/>
        <c:ser>
          <c:idx val="0"/>
          <c:order val="0"/>
          <c:spPr>
            <a:ln w="28575" cap="rnd">
              <a:solidFill>
                <a:schemeClr val="accent1"/>
              </a:solidFill>
              <a:round/>
            </a:ln>
            <a:effectLst/>
          </c:spPr>
          <c:marker>
            <c:symbol val="none"/>
          </c:marker>
          <c:cat>
            <c:strRef>
              <c:f>Palmas!$G$96:$G$113</c:f>
              <c:strCache>
                <c:ptCount val="18"/>
                <c:pt idx="0">
                  <c:v>&lt;1</c:v>
                </c:pt>
                <c:pt idx="1">
                  <c:v>1  -  4</c:v>
                </c:pt>
                <c:pt idx="2">
                  <c:v>5  -  9</c:v>
                </c:pt>
                <c:pt idx="3">
                  <c:v>10 - 14</c:v>
                </c:pt>
                <c:pt idx="4">
                  <c:v>15  - 19</c:v>
                </c:pt>
                <c:pt idx="5">
                  <c:v>20  - 24</c:v>
                </c:pt>
                <c:pt idx="6">
                  <c:v>25  - 29</c:v>
                </c:pt>
                <c:pt idx="7">
                  <c:v>30  - 34</c:v>
                </c:pt>
                <c:pt idx="8">
                  <c:v>35  - 39</c:v>
                </c:pt>
                <c:pt idx="9">
                  <c:v>40  - 44</c:v>
                </c:pt>
                <c:pt idx="10">
                  <c:v>45  - 49</c:v>
                </c:pt>
                <c:pt idx="11">
                  <c:v>50  - 54</c:v>
                </c:pt>
                <c:pt idx="12">
                  <c:v>55  - 59</c:v>
                </c:pt>
                <c:pt idx="13">
                  <c:v>60  - 64</c:v>
                </c:pt>
                <c:pt idx="14">
                  <c:v>65  - 69</c:v>
                </c:pt>
                <c:pt idx="15">
                  <c:v>70  - 74</c:v>
                </c:pt>
                <c:pt idx="16">
                  <c:v>75  - 79</c:v>
                </c:pt>
                <c:pt idx="17">
                  <c:v>80+</c:v>
                </c:pt>
              </c:strCache>
            </c:strRef>
          </c:cat>
          <c:val>
            <c:numRef>
              <c:f>Palmas!$J$96:$J$113</c:f>
              <c:numCache>
                <c:formatCode>0.00</c:formatCode>
                <c:ptCount val="18"/>
                <c:pt idx="0">
                  <c:v>2.0094339622641506</c:v>
                </c:pt>
                <c:pt idx="1">
                  <c:v>0.95711835334476847</c:v>
                </c:pt>
                <c:pt idx="2">
                  <c:v>0</c:v>
                </c:pt>
                <c:pt idx="3">
                  <c:v>0.98553121124431575</c:v>
                </c:pt>
                <c:pt idx="4">
                  <c:v>1.9634743875278398</c:v>
                </c:pt>
                <c:pt idx="5">
                  <c:v>7.8735983690112148</c:v>
                </c:pt>
                <c:pt idx="6">
                  <c:v>2.0306178239475123</c:v>
                </c:pt>
                <c:pt idx="7">
                  <c:v>2.0894643908181281</c:v>
                </c:pt>
                <c:pt idx="8">
                  <c:v>4.4002633311389063</c:v>
                </c:pt>
                <c:pt idx="9">
                  <c:v>2.4320191158900837</c:v>
                </c:pt>
                <c:pt idx="10">
                  <c:v>1.0197206244864421</c:v>
                </c:pt>
                <c:pt idx="11">
                  <c:v>2.079192546583851</c:v>
                </c:pt>
                <c:pt idx="12">
                  <c:v>0.75523932729624832</c:v>
                </c:pt>
                <c:pt idx="13">
                  <c:v>1.4446417998815866</c:v>
                </c:pt>
                <c:pt idx="14">
                  <c:v>1.803921568627451</c:v>
                </c:pt>
                <c:pt idx="15">
                  <c:v>1.9567944250871081</c:v>
                </c:pt>
                <c:pt idx="16">
                  <c:v>1.0304975922953452</c:v>
                </c:pt>
                <c:pt idx="17">
                  <c:v>0.76687116564417168</c:v>
                </c:pt>
              </c:numCache>
            </c:numRef>
          </c:val>
          <c:smooth val="0"/>
          <c:extLst>
            <c:ext xmlns:c16="http://schemas.microsoft.com/office/drawing/2014/chart" uri="{C3380CC4-5D6E-409C-BE32-E72D297353CC}">
              <c16:uniqueId val="{00000000-5DCF-4A55-A81C-E75F4CE65762}"/>
            </c:ext>
          </c:extLst>
        </c:ser>
        <c:dLbls>
          <c:showLegendKey val="0"/>
          <c:showVal val="0"/>
          <c:showCatName val="0"/>
          <c:showSerName val="0"/>
          <c:showPercent val="0"/>
          <c:showBubbleSize val="0"/>
        </c:dLbls>
        <c:smooth val="0"/>
        <c:axId val="1315993088"/>
        <c:axId val="1315994752"/>
      </c:lineChart>
      <c:catAx>
        <c:axId val="13159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4752"/>
        <c:crosses val="autoZero"/>
        <c:auto val="1"/>
        <c:lblAlgn val="ctr"/>
        <c:lblOffset val="100"/>
        <c:noMultiLvlLbl val="0"/>
      </c:catAx>
      <c:valAx>
        <c:axId val="1315994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59930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nTEFx</a:t>
            </a:r>
            <a:r>
              <a:rPr lang="pt-BR" baseline="0"/>
              <a:t>: Taxa específica de fecundidade por idade da mãe (2011)</a:t>
            </a:r>
            <a:endParaRPr lang="pt-B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strRef>
              <c:f>Palmas!$R$97:$R$103</c:f>
              <c:strCache>
                <c:ptCount val="7"/>
                <c:pt idx="0">
                  <c:v>15 - 19</c:v>
                </c:pt>
                <c:pt idx="1">
                  <c:v>20  - 24</c:v>
                </c:pt>
                <c:pt idx="2">
                  <c:v>25  - 29</c:v>
                </c:pt>
                <c:pt idx="3">
                  <c:v>30  - 34</c:v>
                </c:pt>
                <c:pt idx="4">
                  <c:v>35  - 39</c:v>
                </c:pt>
                <c:pt idx="5">
                  <c:v>40  - 44</c:v>
                </c:pt>
                <c:pt idx="6">
                  <c:v>45  - 49</c:v>
                </c:pt>
              </c:strCache>
            </c:strRef>
          </c:cat>
          <c:val>
            <c:numRef>
              <c:f>Palmas!$S$97:$S$103</c:f>
              <c:numCache>
                <c:formatCode>0.00</c:formatCode>
                <c:ptCount val="7"/>
                <c:pt idx="0">
                  <c:v>101.63339382940109</c:v>
                </c:pt>
                <c:pt idx="1">
                  <c:v>120.14500258933195</c:v>
                </c:pt>
                <c:pt idx="2">
                  <c:v>85.621970920840056</c:v>
                </c:pt>
                <c:pt idx="3">
                  <c:v>59.718309859154935</c:v>
                </c:pt>
                <c:pt idx="4">
                  <c:v>33.512866546977854</c:v>
                </c:pt>
                <c:pt idx="5">
                  <c:v>9.628610729023384</c:v>
                </c:pt>
                <c:pt idx="6">
                  <c:v>0.80580177276390008</c:v>
                </c:pt>
              </c:numCache>
            </c:numRef>
          </c:val>
          <c:smooth val="0"/>
          <c:extLst>
            <c:ext xmlns:c16="http://schemas.microsoft.com/office/drawing/2014/chart" uri="{C3380CC4-5D6E-409C-BE32-E72D297353CC}">
              <c16:uniqueId val="{00000000-E18D-4721-9096-00EEEEC3D249}"/>
            </c:ext>
          </c:extLst>
        </c:ser>
        <c:dLbls>
          <c:showLegendKey val="0"/>
          <c:showVal val="0"/>
          <c:showCatName val="0"/>
          <c:showSerName val="0"/>
          <c:showPercent val="0"/>
          <c:showBubbleSize val="0"/>
        </c:dLbls>
        <c:smooth val="0"/>
        <c:axId val="1360680544"/>
        <c:axId val="1360673056"/>
      </c:lineChart>
      <c:catAx>
        <c:axId val="13606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0673056"/>
        <c:crosses val="autoZero"/>
        <c:auto val="1"/>
        <c:lblAlgn val="ctr"/>
        <c:lblOffset val="100"/>
        <c:noMultiLvlLbl val="0"/>
      </c:catAx>
      <c:valAx>
        <c:axId val="1360673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0680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57</xdr:row>
      <xdr:rowOff>37306</xdr:rowOff>
    </xdr:from>
    <xdr:to>
      <xdr:col>8</xdr:col>
      <xdr:colOff>605235</xdr:colOff>
      <xdr:row>80</xdr:row>
      <xdr:rowOff>19844</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734219</xdr:colOff>
      <xdr:row>57</xdr:row>
      <xdr:rowOff>9922</xdr:rowOff>
    </xdr:from>
    <xdr:to>
      <xdr:col>17</xdr:col>
      <xdr:colOff>0</xdr:colOff>
      <xdr:row>79</xdr:row>
      <xdr:rowOff>151210</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363138</xdr:colOff>
      <xdr:row>56</xdr:row>
      <xdr:rowOff>156368</xdr:rowOff>
    </xdr:from>
    <xdr:to>
      <xdr:col>24</xdr:col>
      <xdr:colOff>357188</xdr:colOff>
      <xdr:row>79</xdr:row>
      <xdr:rowOff>109142</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123</xdr:row>
      <xdr:rowOff>39688</xdr:rowOff>
    </xdr:from>
    <xdr:to>
      <xdr:col>8</xdr:col>
      <xdr:colOff>750491</xdr:colOff>
      <xdr:row>145</xdr:row>
      <xdr:rowOff>111126</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31750</xdr:colOff>
      <xdr:row>123</xdr:row>
      <xdr:rowOff>12304</xdr:rowOff>
    </xdr:from>
    <xdr:to>
      <xdr:col>17</xdr:col>
      <xdr:colOff>105966</xdr:colOff>
      <xdr:row>145</xdr:row>
      <xdr:rowOff>83742</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469104</xdr:colOff>
      <xdr:row>123</xdr:row>
      <xdr:rowOff>0</xdr:rowOff>
    </xdr:from>
    <xdr:to>
      <xdr:col>24</xdr:col>
      <xdr:colOff>435372</xdr:colOff>
      <xdr:row>145</xdr:row>
      <xdr:rowOff>41674</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148</xdr:row>
      <xdr:rowOff>39688</xdr:rowOff>
    </xdr:from>
    <xdr:to>
      <xdr:col>8</xdr:col>
      <xdr:colOff>750491</xdr:colOff>
      <xdr:row>170</xdr:row>
      <xdr:rowOff>111126</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31750</xdr:colOff>
      <xdr:row>148</xdr:row>
      <xdr:rowOff>12304</xdr:rowOff>
    </xdr:from>
    <xdr:to>
      <xdr:col>17</xdr:col>
      <xdr:colOff>105966</xdr:colOff>
      <xdr:row>170</xdr:row>
      <xdr:rowOff>83742</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469104</xdr:colOff>
      <xdr:row>148</xdr:row>
      <xdr:rowOff>0</xdr:rowOff>
    </xdr:from>
    <xdr:to>
      <xdr:col>24</xdr:col>
      <xdr:colOff>435372</xdr:colOff>
      <xdr:row>170</xdr:row>
      <xdr:rowOff>41674</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tabnet.datasus.gov.br/cgi/sinasc/Consolida_Sinasc_2011.pdf" TargetMode="External"/><Relationship Id="rId1" Type="http://schemas.openxmlformats.org/officeDocument/2006/relationships/hyperlink" Target="http://tabnet.datasus.gov.br/cgi/sim/Consolida_Sim_201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57"/>
  <sheetViews>
    <sheetView tabSelected="1" topLeftCell="A49" zoomScale="96" zoomScaleNormal="96" workbookViewId="0">
      <selection activeCell="S33" sqref="S33"/>
    </sheetView>
  </sheetViews>
  <sheetFormatPr defaultColWidth="12.7109375" defaultRowHeight="12.95" customHeight="1" x14ac:dyDescent="0.2"/>
  <cols>
    <col min="1" max="1" width="2.5703125" customWidth="1"/>
    <col min="2" max="2" width="14.28515625" customWidth="1"/>
    <col min="4" max="4" width="13.7109375" bestFit="1" customWidth="1"/>
    <col min="13" max="14" width="12.7109375" style="30"/>
    <col min="19" max="19" width="17.28515625" style="29" customWidth="1"/>
  </cols>
  <sheetData>
    <row r="1" spans="2:14" ht="12.95" customHeight="1" thickBot="1" x14ac:dyDescent="0.25">
      <c r="M1"/>
    </row>
    <row r="2" spans="2:14" ht="12.95" customHeight="1" thickBot="1" x14ac:dyDescent="0.25">
      <c r="B2" s="47" t="s">
        <v>0</v>
      </c>
      <c r="C2" s="47"/>
      <c r="D2" s="47"/>
      <c r="E2" s="47"/>
      <c r="G2" s="48" t="s">
        <v>0</v>
      </c>
      <c r="H2" s="48"/>
      <c r="I2" s="48"/>
      <c r="J2" s="48"/>
      <c r="K2" s="44"/>
      <c r="M2" t="s">
        <v>69</v>
      </c>
      <c r="N2"/>
    </row>
    <row r="3" spans="2:14" ht="12.95" customHeight="1" x14ac:dyDescent="0.2">
      <c r="B3" s="47"/>
      <c r="C3" s="47"/>
      <c r="D3" s="47"/>
      <c r="E3" s="47"/>
      <c r="G3" s="48"/>
      <c r="H3" s="48"/>
      <c r="I3" s="48"/>
      <c r="J3" s="48"/>
      <c r="K3" s="44"/>
      <c r="M3" t="s">
        <v>60</v>
      </c>
      <c r="N3" t="s">
        <v>70</v>
      </c>
    </row>
    <row r="4" spans="2:14" ht="12.95" customHeight="1" x14ac:dyDescent="0.2">
      <c r="B4" s="49" t="s">
        <v>45</v>
      </c>
      <c r="C4" s="49"/>
      <c r="D4" s="49"/>
      <c r="E4" s="49"/>
      <c r="G4" s="49" t="s">
        <v>45</v>
      </c>
      <c r="H4" s="49"/>
      <c r="I4" s="49"/>
      <c r="J4" s="49"/>
      <c r="K4" s="26"/>
      <c r="M4" t="s">
        <v>61</v>
      </c>
      <c r="N4" t="s">
        <v>71</v>
      </c>
    </row>
    <row r="5" spans="2:14" ht="12.95" customHeight="1" thickBot="1" x14ac:dyDescent="0.25">
      <c r="B5" s="49"/>
      <c r="C5" s="49"/>
      <c r="D5" s="49"/>
      <c r="E5" s="49"/>
      <c r="G5" s="49"/>
      <c r="H5" s="49"/>
      <c r="I5" s="49"/>
      <c r="J5" s="49"/>
      <c r="K5" s="26"/>
      <c r="M5" s="30" t="s">
        <v>62</v>
      </c>
      <c r="N5" t="s">
        <v>72</v>
      </c>
    </row>
    <row r="6" spans="2:14" ht="12.95" customHeight="1" thickBot="1" x14ac:dyDescent="0.25">
      <c r="B6" s="50" t="s">
        <v>1</v>
      </c>
      <c r="C6" s="51" t="s">
        <v>2</v>
      </c>
      <c r="D6" s="51" t="s">
        <v>3</v>
      </c>
      <c r="E6" s="52" t="s">
        <v>4</v>
      </c>
      <c r="G6" s="53" t="s">
        <v>1</v>
      </c>
      <c r="H6" s="54" t="s">
        <v>2</v>
      </c>
      <c r="I6" s="54" t="s">
        <v>3</v>
      </c>
      <c r="J6" s="57" t="s">
        <v>4</v>
      </c>
      <c r="K6" s="31"/>
      <c r="M6" s="30" t="s">
        <v>63</v>
      </c>
      <c r="N6" t="s">
        <v>73</v>
      </c>
    </row>
    <row r="7" spans="2:14" ht="12.95" customHeight="1" thickBot="1" x14ac:dyDescent="0.25">
      <c r="B7" s="50"/>
      <c r="C7" s="51"/>
      <c r="D7" s="51"/>
      <c r="E7" s="52"/>
      <c r="G7" s="53"/>
      <c r="H7" s="54"/>
      <c r="I7" s="54"/>
      <c r="J7" s="57"/>
      <c r="K7" s="31"/>
      <c r="M7" s="30" t="s">
        <v>64</v>
      </c>
      <c r="N7" t="s">
        <v>74</v>
      </c>
    </row>
    <row r="8" spans="2:14" ht="12.95" customHeight="1" thickBot="1" x14ac:dyDescent="0.25">
      <c r="B8" s="20" t="s">
        <v>4</v>
      </c>
      <c r="C8" s="21">
        <f>SUM(C9:C27)</f>
        <v>2524850</v>
      </c>
      <c r="D8" s="21">
        <f>SUM(D9:D27)</f>
        <v>2559440</v>
      </c>
      <c r="E8" s="21">
        <f>SUM(E9:E27)</f>
        <v>5084290</v>
      </c>
      <c r="G8" s="1" t="s">
        <v>4</v>
      </c>
      <c r="H8" s="21">
        <v>2524850</v>
      </c>
      <c r="I8" s="21">
        <v>2559440</v>
      </c>
      <c r="J8" s="4">
        <f>SUM(J9:J25)</f>
        <v>5084290</v>
      </c>
      <c r="K8" s="46"/>
      <c r="M8" s="30" t="s">
        <v>66</v>
      </c>
      <c r="N8" t="s">
        <v>75</v>
      </c>
    </row>
    <row r="9" spans="2:14" ht="12.95" customHeight="1" x14ac:dyDescent="0.2">
      <c r="B9" s="22" t="s">
        <v>5</v>
      </c>
      <c r="C9" s="23">
        <v>30040</v>
      </c>
      <c r="D9" s="24">
        <v>28970</v>
      </c>
      <c r="E9" s="25">
        <f t="shared" ref="E9:E26" si="0">SUM(C9:D9)</f>
        <v>59010</v>
      </c>
      <c r="G9" s="12" t="s">
        <v>28</v>
      </c>
      <c r="H9" s="7">
        <v>156670</v>
      </c>
      <c r="I9" s="7">
        <v>148690</v>
      </c>
      <c r="J9" s="7">
        <f t="shared" ref="J9:J25" si="1">SUM(H9:I9)</f>
        <v>305360</v>
      </c>
      <c r="K9" s="32"/>
      <c r="M9" t="s">
        <v>67</v>
      </c>
      <c r="N9" t="s">
        <v>76</v>
      </c>
    </row>
    <row r="10" spans="2:14" ht="12.95" customHeight="1" x14ac:dyDescent="0.2">
      <c r="B10" s="22" t="s">
        <v>6</v>
      </c>
      <c r="C10" s="24">
        <v>126630</v>
      </c>
      <c r="D10" s="24">
        <v>119720</v>
      </c>
      <c r="E10" s="25">
        <f t="shared" si="0"/>
        <v>246350</v>
      </c>
      <c r="G10" s="12" t="s">
        <v>29</v>
      </c>
      <c r="H10" s="7">
        <v>168660</v>
      </c>
      <c r="I10" s="7">
        <v>160100</v>
      </c>
      <c r="J10" s="7">
        <f t="shared" si="1"/>
        <v>328760</v>
      </c>
      <c r="K10" s="32"/>
      <c r="M10" t="s">
        <v>68</v>
      </c>
      <c r="N10" t="s">
        <v>77</v>
      </c>
    </row>
    <row r="11" spans="2:14" ht="12.95" customHeight="1" x14ac:dyDescent="0.2">
      <c r="B11" s="22" t="s">
        <v>7</v>
      </c>
      <c r="C11" s="24">
        <v>168660</v>
      </c>
      <c r="D11" s="24">
        <v>160100</v>
      </c>
      <c r="E11" s="25">
        <f t="shared" si="0"/>
        <v>328760</v>
      </c>
      <c r="G11" s="13" t="s">
        <v>30</v>
      </c>
      <c r="H11" s="7">
        <v>170870</v>
      </c>
      <c r="I11" s="7">
        <v>161400</v>
      </c>
      <c r="J11" s="7">
        <f t="shared" si="1"/>
        <v>332270</v>
      </c>
      <c r="K11" s="32"/>
      <c r="N11"/>
    </row>
    <row r="12" spans="2:14" ht="12.95" customHeight="1" x14ac:dyDescent="0.2">
      <c r="B12" s="22" t="s">
        <v>8</v>
      </c>
      <c r="C12" s="24">
        <v>170870</v>
      </c>
      <c r="D12" s="24">
        <v>161400</v>
      </c>
      <c r="E12" s="25">
        <f t="shared" si="0"/>
        <v>332270</v>
      </c>
      <c r="G12" s="12" t="s">
        <v>31</v>
      </c>
      <c r="H12" s="7">
        <v>163140</v>
      </c>
      <c r="I12" s="7">
        <v>154740</v>
      </c>
      <c r="J12" s="7">
        <f t="shared" si="1"/>
        <v>317880</v>
      </c>
      <c r="K12" s="32"/>
      <c r="M12" s="30" t="s">
        <v>78</v>
      </c>
      <c r="N12" t="s">
        <v>79</v>
      </c>
    </row>
    <row r="13" spans="2:14" ht="12.95" customHeight="1" x14ac:dyDescent="0.2">
      <c r="B13" s="22" t="s">
        <v>9</v>
      </c>
      <c r="C13" s="24">
        <v>163140</v>
      </c>
      <c r="D13" s="24">
        <v>154740</v>
      </c>
      <c r="E13" s="25">
        <f t="shared" si="0"/>
        <v>317880</v>
      </c>
      <c r="G13" s="12" t="s">
        <v>32</v>
      </c>
      <c r="H13" s="7">
        <v>175470</v>
      </c>
      <c r="I13" s="7">
        <v>163180</v>
      </c>
      <c r="J13" s="7">
        <f t="shared" si="1"/>
        <v>338650</v>
      </c>
      <c r="K13" s="32"/>
      <c r="M13" s="30" t="s">
        <v>80</v>
      </c>
      <c r="N13" t="s">
        <v>81</v>
      </c>
    </row>
    <row r="14" spans="2:14" ht="12.95" customHeight="1" x14ac:dyDescent="0.2">
      <c r="B14" s="22" t="s">
        <v>10</v>
      </c>
      <c r="C14" s="24">
        <v>175470</v>
      </c>
      <c r="D14" s="24">
        <v>163180</v>
      </c>
      <c r="E14" s="25">
        <f t="shared" si="0"/>
        <v>338650</v>
      </c>
      <c r="G14" s="14" t="s">
        <v>33</v>
      </c>
      <c r="H14" s="7">
        <v>194370</v>
      </c>
      <c r="I14" s="7">
        <v>185970</v>
      </c>
      <c r="J14" s="7">
        <f t="shared" si="1"/>
        <v>380340</v>
      </c>
      <c r="K14" s="32"/>
      <c r="M14" s="30" t="s">
        <v>82</v>
      </c>
      <c r="N14" t="s">
        <v>83</v>
      </c>
    </row>
    <row r="15" spans="2:14" ht="12.95" customHeight="1" x14ac:dyDescent="0.2">
      <c r="B15" s="22" t="s">
        <v>11</v>
      </c>
      <c r="C15" s="24">
        <v>194370</v>
      </c>
      <c r="D15" s="24">
        <v>185970</v>
      </c>
      <c r="E15" s="25">
        <f t="shared" si="0"/>
        <v>380340</v>
      </c>
      <c r="G15" s="14" t="s">
        <v>34</v>
      </c>
      <c r="H15" s="7">
        <v>186010</v>
      </c>
      <c r="I15" s="7">
        <v>187070</v>
      </c>
      <c r="J15" s="7">
        <f t="shared" si="1"/>
        <v>373080</v>
      </c>
      <c r="K15" s="32"/>
      <c r="M15" s="30" t="s">
        <v>84</v>
      </c>
      <c r="N15" t="s">
        <v>85</v>
      </c>
    </row>
    <row r="16" spans="2:14" ht="12.95" customHeight="1" x14ac:dyDescent="0.2">
      <c r="B16" s="22" t="s">
        <v>12</v>
      </c>
      <c r="C16" s="24">
        <v>186010</v>
      </c>
      <c r="D16" s="24">
        <v>187070</v>
      </c>
      <c r="E16" s="25">
        <f t="shared" si="0"/>
        <v>373080</v>
      </c>
      <c r="G16" s="14" t="s">
        <v>35</v>
      </c>
      <c r="H16" s="7">
        <v>166120</v>
      </c>
      <c r="I16" s="7">
        <v>168710</v>
      </c>
      <c r="J16" s="7">
        <f t="shared" si="1"/>
        <v>334830</v>
      </c>
      <c r="K16" s="32"/>
      <c r="M16"/>
    </row>
    <row r="17" spans="2:19" ht="12.95" customHeight="1" x14ac:dyDescent="0.2">
      <c r="B17" s="22" t="s">
        <v>13</v>
      </c>
      <c r="C17" s="24">
        <v>166120</v>
      </c>
      <c r="D17" s="24">
        <v>168710</v>
      </c>
      <c r="E17" s="25">
        <f t="shared" si="0"/>
        <v>334830</v>
      </c>
      <c r="G17" s="14" t="s">
        <v>36</v>
      </c>
      <c r="H17" s="7">
        <v>152650</v>
      </c>
      <c r="I17" s="7">
        <v>155810</v>
      </c>
      <c r="J17" s="7">
        <f t="shared" si="1"/>
        <v>308460</v>
      </c>
      <c r="K17" s="32"/>
      <c r="M17"/>
    </row>
    <row r="18" spans="2:19" ht="12.95" customHeight="1" x14ac:dyDescent="0.2">
      <c r="B18" s="22" t="s">
        <v>14</v>
      </c>
      <c r="C18" s="24">
        <v>152650</v>
      </c>
      <c r="D18" s="24">
        <v>155810</v>
      </c>
      <c r="E18" s="25">
        <f t="shared" si="0"/>
        <v>308460</v>
      </c>
      <c r="G18" s="14" t="s">
        <v>37</v>
      </c>
      <c r="H18" s="7">
        <v>162320</v>
      </c>
      <c r="I18" s="7">
        <v>169550</v>
      </c>
      <c r="J18" s="7">
        <f t="shared" si="1"/>
        <v>331870</v>
      </c>
      <c r="K18" s="32"/>
      <c r="M18"/>
    </row>
    <row r="19" spans="2:19" ht="12.95" customHeight="1" x14ac:dyDescent="0.2">
      <c r="B19" s="22" t="s">
        <v>15</v>
      </c>
      <c r="C19" s="24">
        <v>162320</v>
      </c>
      <c r="D19" s="24">
        <v>169550</v>
      </c>
      <c r="E19" s="25">
        <f t="shared" si="0"/>
        <v>331870</v>
      </c>
      <c r="G19" s="14" t="s">
        <v>38</v>
      </c>
      <c r="H19" s="7">
        <v>159450</v>
      </c>
      <c r="I19" s="7">
        <v>166590</v>
      </c>
      <c r="J19" s="7">
        <f t="shared" si="1"/>
        <v>326040</v>
      </c>
      <c r="K19" s="32"/>
      <c r="M19"/>
    </row>
    <row r="20" spans="2:19" ht="12.95" customHeight="1" x14ac:dyDescent="0.2">
      <c r="B20" s="22" t="s">
        <v>16</v>
      </c>
      <c r="C20" s="24">
        <v>159450</v>
      </c>
      <c r="D20" s="24">
        <v>166590</v>
      </c>
      <c r="E20" s="25">
        <f t="shared" si="0"/>
        <v>326040</v>
      </c>
      <c r="G20" s="14" t="s">
        <v>39</v>
      </c>
      <c r="H20" s="7">
        <v>158020</v>
      </c>
      <c r="I20" s="7">
        <v>167610</v>
      </c>
      <c r="J20" s="7">
        <f t="shared" si="1"/>
        <v>325630</v>
      </c>
      <c r="K20" s="32"/>
      <c r="M20"/>
    </row>
    <row r="21" spans="2:19" ht="12.95" customHeight="1" x14ac:dyDescent="0.2">
      <c r="B21" s="22" t="s">
        <v>17</v>
      </c>
      <c r="C21" s="24">
        <v>158020</v>
      </c>
      <c r="D21" s="24">
        <v>167610</v>
      </c>
      <c r="E21" s="25">
        <f t="shared" si="0"/>
        <v>325630</v>
      </c>
      <c r="G21" s="14" t="s">
        <v>40</v>
      </c>
      <c r="H21" s="7">
        <v>140740</v>
      </c>
      <c r="I21" s="7">
        <v>149360</v>
      </c>
      <c r="J21" s="7">
        <f t="shared" si="1"/>
        <v>290100</v>
      </c>
      <c r="K21" s="32"/>
      <c r="M21"/>
    </row>
    <row r="22" spans="2:19" ht="12.95" customHeight="1" x14ac:dyDescent="0.2">
      <c r="B22" s="22" t="s">
        <v>18</v>
      </c>
      <c r="C22" s="24">
        <v>140740</v>
      </c>
      <c r="D22" s="24">
        <v>149360</v>
      </c>
      <c r="E22" s="25">
        <f t="shared" si="0"/>
        <v>290100</v>
      </c>
      <c r="G22" s="14" t="s">
        <v>41</v>
      </c>
      <c r="H22" s="7">
        <v>120220</v>
      </c>
      <c r="I22" s="7">
        <v>126970</v>
      </c>
      <c r="J22" s="7">
        <f t="shared" si="1"/>
        <v>247190</v>
      </c>
      <c r="K22" s="32"/>
      <c r="M22"/>
    </row>
    <row r="23" spans="2:19" ht="12.95" customHeight="1" x14ac:dyDescent="0.2">
      <c r="B23" s="22" t="s">
        <v>19</v>
      </c>
      <c r="C23" s="24">
        <v>120220</v>
      </c>
      <c r="D23" s="24">
        <v>126970</v>
      </c>
      <c r="E23" s="25">
        <f t="shared" si="0"/>
        <v>247190</v>
      </c>
      <c r="G23" s="14" t="s">
        <v>42</v>
      </c>
      <c r="H23" s="7">
        <v>103160</v>
      </c>
      <c r="I23" s="7">
        <v>109210</v>
      </c>
      <c r="J23" s="7">
        <f t="shared" si="1"/>
        <v>212370</v>
      </c>
      <c r="K23" s="32"/>
      <c r="M23"/>
    </row>
    <row r="24" spans="2:19" ht="12.95" customHeight="1" x14ac:dyDescent="0.2">
      <c r="B24" s="22" t="s">
        <v>20</v>
      </c>
      <c r="C24" s="24">
        <v>103160</v>
      </c>
      <c r="D24" s="24">
        <v>109210</v>
      </c>
      <c r="E24" s="25">
        <f t="shared" si="0"/>
        <v>212370</v>
      </c>
      <c r="G24" s="14" t="s">
        <v>43</v>
      </c>
      <c r="H24" s="7">
        <v>69300</v>
      </c>
      <c r="I24" s="7">
        <v>77120</v>
      </c>
      <c r="J24" s="7">
        <f t="shared" si="1"/>
        <v>146420</v>
      </c>
      <c r="K24" s="32"/>
      <c r="M24"/>
    </row>
    <row r="25" spans="2:19" ht="12.95" customHeight="1" thickBot="1" x14ac:dyDescent="0.25">
      <c r="B25" s="22" t="s">
        <v>21</v>
      </c>
      <c r="C25" s="24">
        <v>69300</v>
      </c>
      <c r="D25" s="24">
        <v>77120</v>
      </c>
      <c r="E25" s="25">
        <f t="shared" si="0"/>
        <v>146420</v>
      </c>
      <c r="G25" s="15" t="s">
        <v>22</v>
      </c>
      <c r="H25" s="9">
        <v>77680</v>
      </c>
      <c r="I25" s="9">
        <v>107360</v>
      </c>
      <c r="J25" s="9">
        <f t="shared" si="1"/>
        <v>185040</v>
      </c>
      <c r="K25" s="32"/>
      <c r="M25"/>
    </row>
    <row r="26" spans="2:19" ht="13.35" customHeight="1" x14ac:dyDescent="0.2">
      <c r="B26" s="22" t="s">
        <v>22</v>
      </c>
      <c r="C26" s="24">
        <v>77680</v>
      </c>
      <c r="D26" s="24">
        <v>107360</v>
      </c>
      <c r="E26" s="25">
        <f t="shared" si="0"/>
        <v>185040</v>
      </c>
      <c r="G26" s="27" t="s">
        <v>50</v>
      </c>
      <c r="H26" t="s">
        <v>52</v>
      </c>
      <c r="M26"/>
    </row>
    <row r="27" spans="2:19" ht="13.35" customHeight="1" x14ac:dyDescent="0.2">
      <c r="B27" s="27" t="s">
        <v>50</v>
      </c>
      <c r="C27" t="s">
        <v>52</v>
      </c>
      <c r="G27" s="18" t="s">
        <v>44</v>
      </c>
      <c r="H27" t="s">
        <v>51</v>
      </c>
      <c r="M27"/>
    </row>
    <row r="28" spans="2:19" ht="12.95" customHeight="1" x14ac:dyDescent="0.2">
      <c r="B28" s="18" t="s">
        <v>44</v>
      </c>
      <c r="C28" t="s">
        <v>51</v>
      </c>
      <c r="M28"/>
    </row>
    <row r="29" spans="2:19" ht="12.95" customHeight="1" x14ac:dyDescent="0.2">
      <c r="M29"/>
      <c r="N29"/>
    </row>
    <row r="30" spans="2:19" ht="12.95" customHeight="1" thickBot="1" x14ac:dyDescent="0.25"/>
    <row r="31" spans="2:19" ht="12.95" customHeight="1" thickBot="1" x14ac:dyDescent="0.25">
      <c r="B31" s="48" t="s">
        <v>23</v>
      </c>
      <c r="C31" s="48"/>
      <c r="D31" s="48"/>
      <c r="E31" s="48"/>
      <c r="G31" t="s">
        <v>60</v>
      </c>
      <c r="H31" s="29">
        <f>$E$37/$E$8*1000</f>
        <v>7.6807184483969246</v>
      </c>
      <c r="I31" s="29"/>
      <c r="J31" s="29"/>
      <c r="K31" s="29"/>
      <c r="M31" s="48" t="s">
        <v>24</v>
      </c>
      <c r="N31" s="48"/>
      <c r="O31" s="48"/>
      <c r="P31" s="48"/>
      <c r="R31" t="s">
        <v>78</v>
      </c>
      <c r="S31" s="29">
        <f>$P$37/$E$8*1000</f>
        <v>11.323114928534762</v>
      </c>
    </row>
    <row r="32" spans="2:19" ht="12.95" customHeight="1" x14ac:dyDescent="0.2">
      <c r="B32" s="48"/>
      <c r="C32" s="48"/>
      <c r="D32" s="48"/>
      <c r="E32" s="48"/>
      <c r="G32" t="s">
        <v>61</v>
      </c>
      <c r="H32" s="29">
        <f>$E$38/$P$37*1000</f>
        <v>4.0125065138092753</v>
      </c>
      <c r="I32" s="29"/>
      <c r="J32" s="29"/>
      <c r="K32" s="29"/>
      <c r="M32" s="48"/>
      <c r="N32" s="48"/>
      <c r="O32" s="48"/>
      <c r="P32" s="48"/>
      <c r="R32" t="s">
        <v>80</v>
      </c>
      <c r="S32" s="29">
        <f>$P$37/SUM($D$13:$D$19)*1000</f>
        <v>48.581048581048577</v>
      </c>
    </row>
    <row r="33" spans="2:19" ht="12.95" customHeight="1" x14ac:dyDescent="0.2">
      <c r="B33" s="49" t="s">
        <v>45</v>
      </c>
      <c r="C33" s="49"/>
      <c r="D33" s="49"/>
      <c r="E33" s="49"/>
      <c r="G33" s="30" t="s">
        <v>62</v>
      </c>
      <c r="H33" s="29">
        <f>$C$37/$C$8*1000</f>
        <v>7.6412460146147296</v>
      </c>
      <c r="I33" s="29"/>
      <c r="J33" s="29"/>
      <c r="K33" s="29"/>
      <c r="M33" s="49" t="s">
        <v>45</v>
      </c>
      <c r="N33" s="49"/>
      <c r="O33" s="49"/>
      <c r="P33" s="49"/>
      <c r="R33" t="s">
        <v>82</v>
      </c>
      <c r="S33" s="63">
        <f>SUM(S39:S44)*5/1000</f>
        <v>1.6194172684146944</v>
      </c>
    </row>
    <row r="34" spans="2:19" ht="12.95" customHeight="1" thickBot="1" x14ac:dyDescent="0.25">
      <c r="B34" s="49"/>
      <c r="C34" s="49"/>
      <c r="D34" s="49"/>
      <c r="E34" s="49"/>
      <c r="G34" s="30" t="s">
        <v>63</v>
      </c>
      <c r="H34" s="29">
        <f>$D$37/$D$8*1000</f>
        <v>7.7196574250617322</v>
      </c>
      <c r="I34" s="29"/>
      <c r="J34" s="29"/>
      <c r="K34" s="29"/>
      <c r="M34" s="49"/>
      <c r="N34" s="49"/>
      <c r="O34" s="49"/>
      <c r="P34" s="49"/>
    </row>
    <row r="35" spans="2:19" ht="12.95" customHeight="1" thickBot="1" x14ac:dyDescent="0.25">
      <c r="B35" s="58" t="s">
        <v>1</v>
      </c>
      <c r="C35" s="55" t="s">
        <v>2</v>
      </c>
      <c r="D35" s="54" t="s">
        <v>3</v>
      </c>
      <c r="E35" s="57" t="s">
        <v>4</v>
      </c>
      <c r="G35" s="30" t="s">
        <v>64</v>
      </c>
      <c r="H35" s="29">
        <f>$H$33/$H$34</f>
        <v>0.98984263081513935</v>
      </c>
      <c r="I35" s="29"/>
      <c r="J35" s="29"/>
      <c r="K35" s="29"/>
      <c r="M35" s="53" t="s">
        <v>1</v>
      </c>
      <c r="N35" s="54" t="s">
        <v>2</v>
      </c>
      <c r="O35" s="54" t="s">
        <v>3</v>
      </c>
      <c r="P35" s="57" t="s">
        <v>4</v>
      </c>
    </row>
    <row r="36" spans="2:19" ht="12.95" customHeight="1" thickBot="1" x14ac:dyDescent="0.25">
      <c r="B36" s="59"/>
      <c r="C36" s="56"/>
      <c r="D36" s="54"/>
      <c r="E36" s="57"/>
      <c r="G36" s="31"/>
      <c r="H36" s="34"/>
      <c r="I36" s="34"/>
      <c r="J36" s="34"/>
      <c r="K36" s="34"/>
      <c r="M36" s="53"/>
      <c r="N36" s="54"/>
      <c r="O36" s="54"/>
      <c r="P36" s="57"/>
      <c r="S36" s="29" t="s">
        <v>84</v>
      </c>
    </row>
    <row r="37" spans="2:19" ht="12.95" customHeight="1" thickBot="1" x14ac:dyDescent="0.25">
      <c r="B37" s="1" t="s">
        <v>4</v>
      </c>
      <c r="C37" s="11">
        <f>SUM(C38:C55)</f>
        <v>19293</v>
      </c>
      <c r="D37" s="11">
        <f>SUM(D38:D55)</f>
        <v>19758</v>
      </c>
      <c r="E37" s="11">
        <f>SUM(E38:E55)</f>
        <v>39051</v>
      </c>
      <c r="G37" s="32" t="s">
        <v>65</v>
      </c>
      <c r="H37" s="35" t="s">
        <v>66</v>
      </c>
      <c r="I37" s="35" t="s">
        <v>67</v>
      </c>
      <c r="J37" s="35" t="s">
        <v>68</v>
      </c>
      <c r="K37" s="35" t="s">
        <v>86</v>
      </c>
      <c r="M37" s="1" t="s">
        <v>4</v>
      </c>
      <c r="N37" s="11">
        <f>SUM(N38:N46)</f>
        <v>29529</v>
      </c>
      <c r="O37" s="11">
        <f>SUM(O38:O46)</f>
        <v>28041</v>
      </c>
      <c r="P37" s="11">
        <f>SUM(P38:P46)</f>
        <v>57570</v>
      </c>
      <c r="R37" t="s">
        <v>65</v>
      </c>
    </row>
    <row r="38" spans="2:19" ht="12.95" customHeight="1" x14ac:dyDescent="0.2">
      <c r="B38" s="5" t="s">
        <v>5</v>
      </c>
      <c r="C38" s="6">
        <v>135</v>
      </c>
      <c r="D38" s="6">
        <v>96</v>
      </c>
      <c r="E38" s="7">
        <f t="shared" ref="E38:E55" si="2">SUM(C38:D38)</f>
        <v>231</v>
      </c>
      <c r="G38" s="32" t="s">
        <v>5</v>
      </c>
      <c r="H38" s="35">
        <f>C38/C9*1000</f>
        <v>4.4940079893475362</v>
      </c>
      <c r="I38" s="35">
        <f>D38/D9*1000</f>
        <v>3.313772868484639</v>
      </c>
      <c r="J38" s="35">
        <f>H38/I38</f>
        <v>1.3561605359520639</v>
      </c>
      <c r="K38" s="35">
        <f>E38/E9*1000</f>
        <v>3.9145907473309611</v>
      </c>
      <c r="M38" s="5" t="s">
        <v>25</v>
      </c>
      <c r="N38" s="6">
        <v>6</v>
      </c>
      <c r="O38" s="6">
        <v>6</v>
      </c>
      <c r="P38" s="7">
        <f t="shared" ref="P38:P46" si="3">SUM(N38:O38)</f>
        <v>12</v>
      </c>
    </row>
    <row r="39" spans="2:19" ht="12.95" customHeight="1" x14ac:dyDescent="0.2">
      <c r="B39" s="8" t="s">
        <v>6</v>
      </c>
      <c r="C39" s="6">
        <v>18</v>
      </c>
      <c r="D39" s="6">
        <v>18</v>
      </c>
      <c r="E39" s="7">
        <f t="shared" si="2"/>
        <v>36</v>
      </c>
      <c r="G39" s="32" t="s">
        <v>6</v>
      </c>
      <c r="H39" s="35">
        <f t="shared" ref="H39:I39" si="4">C39/C10*1000</f>
        <v>0.14214641080312723</v>
      </c>
      <c r="I39" s="35">
        <f t="shared" si="4"/>
        <v>0.15035081857667892</v>
      </c>
      <c r="J39" s="35">
        <f t="shared" ref="J39:J55" si="5">H39/I39</f>
        <v>0.94543157229724395</v>
      </c>
      <c r="K39" s="35">
        <f t="shared" ref="K39:K55" si="6">E39/E10*1000</f>
        <v>0.14613354982748125</v>
      </c>
      <c r="M39" s="8" t="s">
        <v>26</v>
      </c>
      <c r="N39" s="6">
        <v>936</v>
      </c>
      <c r="O39" s="6">
        <v>945</v>
      </c>
      <c r="P39" s="7">
        <f t="shared" si="3"/>
        <v>1881</v>
      </c>
      <c r="R39" t="s">
        <v>26</v>
      </c>
      <c r="S39" s="29">
        <f t="shared" ref="S39:S45" si="7">P39/D13*1000</f>
        <v>12.155874369910817</v>
      </c>
    </row>
    <row r="40" spans="2:19" ht="12.95" customHeight="1" x14ac:dyDescent="0.2">
      <c r="B40" s="8" t="s">
        <v>7</v>
      </c>
      <c r="C40" s="6">
        <v>21</v>
      </c>
      <c r="D40" s="6">
        <v>3</v>
      </c>
      <c r="E40" s="7">
        <f t="shared" si="2"/>
        <v>24</v>
      </c>
      <c r="G40" s="32" t="s">
        <v>7</v>
      </c>
      <c r="H40" s="35">
        <f t="shared" ref="H40:I40" si="8">C40/C11*1000</f>
        <v>0.12451085023123444</v>
      </c>
      <c r="I40" s="35">
        <f t="shared" si="8"/>
        <v>1.8738288569643973E-2</v>
      </c>
      <c r="J40" s="35">
        <f t="shared" si="5"/>
        <v>6.6447290406735444</v>
      </c>
      <c r="K40" s="35">
        <f t="shared" si="6"/>
        <v>7.3001581700936846E-2</v>
      </c>
      <c r="M40" s="8" t="s">
        <v>10</v>
      </c>
      <c r="N40" s="6">
        <v>4083</v>
      </c>
      <c r="O40" s="6">
        <v>3894</v>
      </c>
      <c r="P40" s="7">
        <f t="shared" si="3"/>
        <v>7977</v>
      </c>
      <c r="R40" t="s">
        <v>10</v>
      </c>
      <c r="S40" s="29">
        <f t="shared" si="7"/>
        <v>48.884667238632183</v>
      </c>
    </row>
    <row r="41" spans="2:19" ht="12.95" customHeight="1" x14ac:dyDescent="0.2">
      <c r="B41" s="8" t="s">
        <v>8</v>
      </c>
      <c r="C41" s="6">
        <v>27</v>
      </c>
      <c r="D41" s="6">
        <v>15</v>
      </c>
      <c r="E41" s="7">
        <f t="shared" si="2"/>
        <v>42</v>
      </c>
      <c r="G41" s="32" t="s">
        <v>8</v>
      </c>
      <c r="H41" s="35">
        <f t="shared" ref="H41:I41" si="9">C41/C12*1000</f>
        <v>0.15801486510212442</v>
      </c>
      <c r="I41" s="35">
        <f t="shared" si="9"/>
        <v>9.2936802973977689E-2</v>
      </c>
      <c r="J41" s="35">
        <f t="shared" si="5"/>
        <v>1.7002399484988588</v>
      </c>
      <c r="K41" s="35">
        <f t="shared" si="6"/>
        <v>0.12640322629187106</v>
      </c>
      <c r="M41" s="8" t="s">
        <v>11</v>
      </c>
      <c r="N41" s="6">
        <v>8106</v>
      </c>
      <c r="O41" s="6">
        <v>7599</v>
      </c>
      <c r="P41" s="7">
        <f t="shared" si="3"/>
        <v>15705</v>
      </c>
      <c r="R41" t="s">
        <v>11</v>
      </c>
      <c r="S41" s="29">
        <f t="shared" si="7"/>
        <v>84.449104694305532</v>
      </c>
    </row>
    <row r="42" spans="2:19" ht="12.95" customHeight="1" x14ac:dyDescent="0.2">
      <c r="B42" s="8" t="s">
        <v>9</v>
      </c>
      <c r="C42" s="6">
        <v>78</v>
      </c>
      <c r="D42" s="6">
        <v>45</v>
      </c>
      <c r="E42" s="7">
        <f t="shared" si="2"/>
        <v>123</v>
      </c>
      <c r="G42" s="32" t="s">
        <v>9</v>
      </c>
      <c r="H42" s="35">
        <f t="shared" ref="H42:I42" si="10">C42/C13*1000</f>
        <v>0.47811695476278043</v>
      </c>
      <c r="I42" s="35">
        <f t="shared" si="10"/>
        <v>0.29081039162466071</v>
      </c>
      <c r="J42" s="35">
        <f t="shared" si="5"/>
        <v>1.6440848351109476</v>
      </c>
      <c r="K42" s="35">
        <f t="shared" si="6"/>
        <v>0.38693846734616838</v>
      </c>
      <c r="M42" s="8" t="s">
        <v>12</v>
      </c>
      <c r="N42" s="6">
        <v>10014</v>
      </c>
      <c r="O42" s="6">
        <v>9501</v>
      </c>
      <c r="P42" s="7">
        <f t="shared" si="3"/>
        <v>19515</v>
      </c>
      <c r="R42" t="s">
        <v>12</v>
      </c>
      <c r="S42" s="29">
        <f t="shared" si="7"/>
        <v>104.3192387876196</v>
      </c>
    </row>
    <row r="43" spans="2:19" ht="12.95" customHeight="1" x14ac:dyDescent="0.2">
      <c r="B43" s="8" t="s">
        <v>10</v>
      </c>
      <c r="C43" s="6">
        <v>111</v>
      </c>
      <c r="D43" s="6">
        <v>60</v>
      </c>
      <c r="E43" s="7">
        <f t="shared" si="2"/>
        <v>171</v>
      </c>
      <c r="G43" s="32" t="s">
        <v>10</v>
      </c>
      <c r="H43" s="35">
        <f t="shared" ref="H43:I43" si="11">C43/C14*1000</f>
        <v>0.63258676696871263</v>
      </c>
      <c r="I43" s="35">
        <f t="shared" si="11"/>
        <v>0.36769211913224659</v>
      </c>
      <c r="J43" s="35">
        <f t="shared" si="5"/>
        <v>1.7204251438992422</v>
      </c>
      <c r="K43" s="35">
        <f t="shared" si="6"/>
        <v>0.50494610955263541</v>
      </c>
      <c r="M43" s="8" t="s">
        <v>13</v>
      </c>
      <c r="N43" s="6">
        <v>5226</v>
      </c>
      <c r="O43" s="6">
        <v>5007</v>
      </c>
      <c r="P43" s="7">
        <f t="shared" si="3"/>
        <v>10233</v>
      </c>
      <c r="R43" t="s">
        <v>13</v>
      </c>
      <c r="S43" s="29">
        <f t="shared" si="7"/>
        <v>60.654377333886551</v>
      </c>
    </row>
    <row r="44" spans="2:19" ht="12.95" customHeight="1" x14ac:dyDescent="0.2">
      <c r="B44" s="8" t="s">
        <v>11</v>
      </c>
      <c r="C44" s="6">
        <v>144</v>
      </c>
      <c r="D44" s="6">
        <v>60</v>
      </c>
      <c r="E44" s="7">
        <f t="shared" si="2"/>
        <v>204</v>
      </c>
      <c r="G44" s="32" t="s">
        <v>11</v>
      </c>
      <c r="H44" s="35">
        <f t="shared" ref="H44:I44" si="12">C44/C15*1000</f>
        <v>0.74085507022688679</v>
      </c>
      <c r="I44" s="35">
        <f t="shared" si="12"/>
        <v>0.32263268269075657</v>
      </c>
      <c r="J44" s="35">
        <f t="shared" si="5"/>
        <v>2.2962802901682355</v>
      </c>
      <c r="K44" s="35">
        <f t="shared" si="6"/>
        <v>0.53636220224010089</v>
      </c>
      <c r="M44" s="8" t="s">
        <v>14</v>
      </c>
      <c r="N44" s="6">
        <v>1074</v>
      </c>
      <c r="O44" s="6">
        <v>1017</v>
      </c>
      <c r="P44" s="7">
        <f t="shared" si="3"/>
        <v>2091</v>
      </c>
      <c r="R44" t="s">
        <v>14</v>
      </c>
      <c r="S44" s="29">
        <f t="shared" si="7"/>
        <v>13.420191258584174</v>
      </c>
    </row>
    <row r="45" spans="2:19" ht="12.95" customHeight="1" x14ac:dyDescent="0.2">
      <c r="B45" s="8" t="s">
        <v>12</v>
      </c>
      <c r="C45" s="6">
        <v>129</v>
      </c>
      <c r="D45" s="6">
        <v>72</v>
      </c>
      <c r="E45" s="7">
        <f t="shared" si="2"/>
        <v>201</v>
      </c>
      <c r="G45" s="32" t="s">
        <v>12</v>
      </c>
      <c r="H45" s="35">
        <f t="shared" ref="H45:I45" si="13">C45/C16*1000</f>
        <v>0.6935111015536799</v>
      </c>
      <c r="I45" s="35">
        <f t="shared" si="13"/>
        <v>0.38488266424333134</v>
      </c>
      <c r="J45" s="35">
        <f t="shared" si="5"/>
        <v>1.8018766912173181</v>
      </c>
      <c r="K45" s="35">
        <f t="shared" si="6"/>
        <v>0.53875844322933419</v>
      </c>
      <c r="M45" s="8" t="s">
        <v>15</v>
      </c>
      <c r="N45" s="6">
        <v>75</v>
      </c>
      <c r="O45" s="6">
        <v>69</v>
      </c>
      <c r="P45" s="7">
        <f t="shared" si="3"/>
        <v>144</v>
      </c>
      <c r="R45" t="s">
        <v>15</v>
      </c>
      <c r="S45" s="29">
        <f t="shared" si="7"/>
        <v>0.84930698908876445</v>
      </c>
    </row>
    <row r="46" spans="2:19" ht="12.95" customHeight="1" thickBot="1" x14ac:dyDescent="0.25">
      <c r="B46" s="8" t="s">
        <v>13</v>
      </c>
      <c r="C46" s="6">
        <v>159</v>
      </c>
      <c r="D46" s="6">
        <v>99</v>
      </c>
      <c r="E46" s="7">
        <f t="shared" si="2"/>
        <v>258</v>
      </c>
      <c r="G46" s="32" t="s">
        <v>13</v>
      </c>
      <c r="H46" s="35">
        <f t="shared" ref="H46:I46" si="14">C46/C17*1000</f>
        <v>0.95713941728870688</v>
      </c>
      <c r="I46" s="35">
        <f t="shared" si="14"/>
        <v>0.5868057613656571</v>
      </c>
      <c r="J46" s="35">
        <f t="shared" si="5"/>
        <v>1.631100920108866</v>
      </c>
      <c r="K46" s="35">
        <f t="shared" si="6"/>
        <v>0.7705402741689813</v>
      </c>
      <c r="M46" s="10" t="s">
        <v>27</v>
      </c>
      <c r="N46" s="16">
        <v>9</v>
      </c>
      <c r="O46" s="16">
        <v>3</v>
      </c>
      <c r="P46" s="9">
        <f t="shared" si="3"/>
        <v>12</v>
      </c>
    </row>
    <row r="47" spans="2:19" ht="12.95" customHeight="1" x14ac:dyDescent="0.2">
      <c r="B47" s="8" t="s">
        <v>14</v>
      </c>
      <c r="C47" s="6">
        <v>219</v>
      </c>
      <c r="D47" s="6">
        <v>132</v>
      </c>
      <c r="E47" s="7">
        <f t="shared" si="2"/>
        <v>351</v>
      </c>
      <c r="G47" s="32" t="s">
        <v>14</v>
      </c>
      <c r="H47" s="35">
        <f t="shared" ref="H47:I47" si="15">C47/C18*1000</f>
        <v>1.4346544382574518</v>
      </c>
      <c r="I47" s="35">
        <f t="shared" si="15"/>
        <v>0.84718567486040686</v>
      </c>
      <c r="J47" s="35">
        <f t="shared" si="5"/>
        <v>1.6934356668552544</v>
      </c>
      <c r="K47" s="35">
        <f t="shared" si="6"/>
        <v>1.1379109122738766</v>
      </c>
      <c r="M47" s="27" t="s">
        <v>50</v>
      </c>
      <c r="N47" s="33" t="s">
        <v>52</v>
      </c>
    </row>
    <row r="48" spans="2:19" ht="12.95" customHeight="1" x14ac:dyDescent="0.2">
      <c r="B48" s="8" t="s">
        <v>15</v>
      </c>
      <c r="C48" s="6">
        <v>369</v>
      </c>
      <c r="D48" s="6">
        <v>228</v>
      </c>
      <c r="E48" s="7">
        <f t="shared" si="2"/>
        <v>597</v>
      </c>
      <c r="G48" s="32" t="s">
        <v>15</v>
      </c>
      <c r="H48" s="35">
        <f t="shared" ref="H48:I48" si="16">C48/C19*1000</f>
        <v>2.2732873336619024</v>
      </c>
      <c r="I48" s="35">
        <f t="shared" si="16"/>
        <v>1.3447360660572103</v>
      </c>
      <c r="J48" s="35">
        <f t="shared" si="5"/>
        <v>1.6905081904490156</v>
      </c>
      <c r="K48" s="35">
        <f t="shared" si="6"/>
        <v>1.7988971585259288</v>
      </c>
      <c r="M48" s="18" t="s">
        <v>44</v>
      </c>
      <c r="N48" s="62" t="s">
        <v>54</v>
      </c>
    </row>
    <row r="49" spans="2:11" ht="12.95" customHeight="1" x14ac:dyDescent="0.2">
      <c r="B49" s="8" t="s">
        <v>16</v>
      </c>
      <c r="C49" s="6">
        <v>525</v>
      </c>
      <c r="D49" s="7">
        <v>393</v>
      </c>
      <c r="E49" s="7">
        <f t="shared" si="2"/>
        <v>918</v>
      </c>
      <c r="G49" s="32" t="s">
        <v>16</v>
      </c>
      <c r="H49" s="35">
        <f t="shared" ref="H49:I49" si="17">C49/C20*1000</f>
        <v>3.2925682031984951</v>
      </c>
      <c r="I49" s="35">
        <f t="shared" si="17"/>
        <v>2.3590851791824239</v>
      </c>
      <c r="J49" s="35">
        <f t="shared" si="5"/>
        <v>1.3956970406382629</v>
      </c>
      <c r="K49" s="35">
        <f t="shared" si="6"/>
        <v>2.8156054471843945</v>
      </c>
    </row>
    <row r="50" spans="2:11" ht="12.95" customHeight="1" x14ac:dyDescent="0.2">
      <c r="B50" s="8" t="s">
        <v>17</v>
      </c>
      <c r="C50" s="6">
        <v>768</v>
      </c>
      <c r="D50" s="7">
        <v>624</v>
      </c>
      <c r="E50" s="7">
        <f t="shared" si="2"/>
        <v>1392</v>
      </c>
      <c r="G50" s="32" t="s">
        <v>17</v>
      </c>
      <c r="H50" s="35">
        <f t="shared" ref="H50:I50" si="18">C50/C21*1000</f>
        <v>4.8601442855334769</v>
      </c>
      <c r="I50" s="35">
        <f t="shared" si="18"/>
        <v>3.7229282262394845</v>
      </c>
      <c r="J50" s="35">
        <f t="shared" si="5"/>
        <v>1.3054627943882469</v>
      </c>
      <c r="K50" s="35">
        <f t="shared" si="6"/>
        <v>4.2747904062893465</v>
      </c>
    </row>
    <row r="51" spans="2:11" ht="12.95" customHeight="1" x14ac:dyDescent="0.2">
      <c r="B51" s="8" t="s">
        <v>18</v>
      </c>
      <c r="C51" s="6">
        <v>1071</v>
      </c>
      <c r="D51" s="7">
        <v>735</v>
      </c>
      <c r="E51" s="7">
        <f t="shared" si="2"/>
        <v>1806</v>
      </c>
      <c r="G51" s="32" t="s">
        <v>18</v>
      </c>
      <c r="H51" s="35">
        <f t="shared" ref="H51:I51" si="19">C51/C22*1000</f>
        <v>7.6097768935625973</v>
      </c>
      <c r="I51" s="35">
        <f t="shared" si="19"/>
        <v>4.920996250669524</v>
      </c>
      <c r="J51" s="35">
        <f t="shared" si="5"/>
        <v>1.546389492275523</v>
      </c>
      <c r="K51" s="35">
        <f t="shared" si="6"/>
        <v>6.2254395036194419</v>
      </c>
    </row>
    <row r="52" spans="2:11" ht="12.95" customHeight="1" x14ac:dyDescent="0.2">
      <c r="B52" s="8" t="s">
        <v>19</v>
      </c>
      <c r="C52" s="6">
        <v>1404</v>
      </c>
      <c r="D52" s="7">
        <v>1011</v>
      </c>
      <c r="E52" s="7">
        <f t="shared" si="2"/>
        <v>2415</v>
      </c>
      <c r="G52" s="32" t="s">
        <v>19</v>
      </c>
      <c r="H52" s="35">
        <f t="shared" ref="H52:I52" si="20">C52/C23*1000</f>
        <v>11.678589253036101</v>
      </c>
      <c r="I52" s="35">
        <f t="shared" si="20"/>
        <v>7.962510829329764</v>
      </c>
      <c r="J52" s="35">
        <f t="shared" si="5"/>
        <v>1.4666968125202706</v>
      </c>
      <c r="K52" s="35">
        <f t="shared" si="6"/>
        <v>9.7698126946882962</v>
      </c>
    </row>
    <row r="53" spans="2:11" ht="12.95" customHeight="1" x14ac:dyDescent="0.2">
      <c r="B53" s="8" t="s">
        <v>20</v>
      </c>
      <c r="C53" s="6">
        <v>1908</v>
      </c>
      <c r="D53" s="7">
        <v>1362</v>
      </c>
      <c r="E53" s="7">
        <f t="shared" si="2"/>
        <v>3270</v>
      </c>
      <c r="G53" s="32" t="s">
        <v>20</v>
      </c>
      <c r="H53" s="35">
        <f t="shared" ref="H53:I53" si="21">C53/C24*1000</f>
        <v>18.495540907328422</v>
      </c>
      <c r="I53" s="35">
        <f t="shared" si="21"/>
        <v>12.471385404267009</v>
      </c>
      <c r="J53" s="35">
        <f t="shared" si="5"/>
        <v>1.483038195660306</v>
      </c>
      <c r="K53" s="35">
        <f t="shared" si="6"/>
        <v>15.397655036022037</v>
      </c>
    </row>
    <row r="54" spans="2:11" ht="12.95" customHeight="1" x14ac:dyDescent="0.2">
      <c r="B54" s="8" t="s">
        <v>21</v>
      </c>
      <c r="C54" s="6">
        <v>2331</v>
      </c>
      <c r="D54" s="7">
        <v>1686</v>
      </c>
      <c r="E54" s="7">
        <f t="shared" si="2"/>
        <v>4017</v>
      </c>
      <c r="G54" s="32" t="s">
        <v>21</v>
      </c>
      <c r="H54" s="35">
        <f t="shared" ref="H54:I54" si="22">C54/C25*1000</f>
        <v>33.63636363636364</v>
      </c>
      <c r="I54" s="35">
        <f t="shared" si="22"/>
        <v>21.862033195020746</v>
      </c>
      <c r="J54" s="35">
        <f t="shared" si="5"/>
        <v>1.5385743556562064</v>
      </c>
      <c r="K54" s="35">
        <f t="shared" si="6"/>
        <v>27.434776669853843</v>
      </c>
    </row>
    <row r="55" spans="2:11" ht="12.95" customHeight="1" thickBot="1" x14ac:dyDescent="0.25">
      <c r="B55" s="17" t="s">
        <v>22</v>
      </c>
      <c r="C55" s="16">
        <v>9876</v>
      </c>
      <c r="D55" s="16">
        <v>13119</v>
      </c>
      <c r="E55" s="9">
        <f t="shared" si="2"/>
        <v>22995</v>
      </c>
      <c r="G55" s="32" t="s">
        <v>22</v>
      </c>
      <c r="H55" s="35">
        <f t="shared" ref="H55:I55" si="23">C55/C26*1000</f>
        <v>127.13697219361484</v>
      </c>
      <c r="I55" s="35">
        <f t="shared" si="23"/>
        <v>122.19634873323399</v>
      </c>
      <c r="J55" s="35">
        <f t="shared" si="5"/>
        <v>1.0404318419625342</v>
      </c>
      <c r="K55" s="35">
        <f t="shared" si="6"/>
        <v>124.27042801556421</v>
      </c>
    </row>
    <row r="56" spans="2:11" ht="12.95" customHeight="1" x14ac:dyDescent="0.2">
      <c r="B56" s="27" t="s">
        <v>50</v>
      </c>
      <c r="C56" s="33" t="s">
        <v>52</v>
      </c>
    </row>
    <row r="57" spans="2:11" ht="12.95" customHeight="1" x14ac:dyDescent="0.2">
      <c r="B57" s="18" t="s">
        <v>44</v>
      </c>
      <c r="C57" s="62" t="s">
        <v>53</v>
      </c>
    </row>
  </sheetData>
  <sheetProtection selectLockedCells="1" selectUnlockedCells="1"/>
  <mergeCells count="24">
    <mergeCell ref="M31:P32"/>
    <mergeCell ref="M33:P34"/>
    <mergeCell ref="M35:M36"/>
    <mergeCell ref="N35:N36"/>
    <mergeCell ref="O35:O36"/>
    <mergeCell ref="P35:P36"/>
    <mergeCell ref="C35:C36"/>
    <mergeCell ref="D35:D36"/>
    <mergeCell ref="E35:E36"/>
    <mergeCell ref="B31:E32"/>
    <mergeCell ref="B33:E34"/>
    <mergeCell ref="B35:B36"/>
    <mergeCell ref="B2:E3"/>
    <mergeCell ref="G2:J3"/>
    <mergeCell ref="B4:E5"/>
    <mergeCell ref="G4:J5"/>
    <mergeCell ref="B6:B7"/>
    <mergeCell ref="C6:C7"/>
    <mergeCell ref="D6:D7"/>
    <mergeCell ref="E6:E7"/>
    <mergeCell ref="G6:G7"/>
    <mergeCell ref="H6:H7"/>
    <mergeCell ref="I6:I7"/>
    <mergeCell ref="J6:J7"/>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ignoredErrors>
    <ignoredError sqref="G11" twoDigitTextYear="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15"/>
  <sheetViews>
    <sheetView topLeftCell="A69" workbookViewId="0">
      <selection activeCell="S91" sqref="S91"/>
    </sheetView>
  </sheetViews>
  <sheetFormatPr defaultColWidth="12.7109375" defaultRowHeight="12.75" x14ac:dyDescent="0.2"/>
  <cols>
    <col min="1" max="1" width="2.5703125" style="36" customWidth="1"/>
    <col min="2" max="2" width="14.28515625" style="36" customWidth="1"/>
    <col min="3" max="3" width="12.7109375" style="36"/>
    <col min="4" max="4" width="13.7109375" style="36" bestFit="1" customWidth="1"/>
    <col min="5" max="12" width="12.7109375" style="36"/>
    <col min="13" max="14" width="12.7109375" style="37"/>
    <col min="15" max="18" width="12.7109375" style="36"/>
    <col min="19" max="19" width="17.28515625" style="38" customWidth="1"/>
    <col min="20" max="16384" width="12.7109375" style="36"/>
  </cols>
  <sheetData>
    <row r="1" spans="2:14" ht="12.95" customHeight="1" thickBot="1" x14ac:dyDescent="0.25">
      <c r="M1" s="36"/>
    </row>
    <row r="2" spans="2:14" ht="12.95" customHeight="1" thickBot="1" x14ac:dyDescent="0.25">
      <c r="B2" s="48" t="s">
        <v>0</v>
      </c>
      <c r="C2" s="48"/>
      <c r="D2" s="48"/>
      <c r="E2" s="48"/>
      <c r="G2" s="48" t="s">
        <v>0</v>
      </c>
      <c r="H2" s="48"/>
      <c r="I2" s="48"/>
      <c r="J2" s="48"/>
      <c r="K2" s="44"/>
      <c r="M2" s="36" t="s">
        <v>69</v>
      </c>
      <c r="N2" s="36"/>
    </row>
    <row r="3" spans="2:14" ht="12.95" customHeight="1" x14ac:dyDescent="0.2">
      <c r="B3" s="48"/>
      <c r="C3" s="48"/>
      <c r="D3" s="48"/>
      <c r="E3" s="48"/>
      <c r="G3" s="48"/>
      <c r="H3" s="48"/>
      <c r="I3" s="48"/>
      <c r="J3" s="48"/>
      <c r="K3" s="44"/>
      <c r="M3" s="36" t="s">
        <v>60</v>
      </c>
      <c r="N3" s="36" t="s">
        <v>70</v>
      </c>
    </row>
    <row r="4" spans="2:14" ht="12.95" customHeight="1" x14ac:dyDescent="0.2">
      <c r="B4" s="49" t="s">
        <v>46</v>
      </c>
      <c r="C4" s="49"/>
      <c r="D4" s="49"/>
      <c r="E4" s="49"/>
      <c r="G4" s="49" t="s">
        <v>46</v>
      </c>
      <c r="H4" s="49"/>
      <c r="I4" s="49"/>
      <c r="J4" s="49"/>
      <c r="K4" s="26"/>
      <c r="M4" s="36" t="s">
        <v>61</v>
      </c>
      <c r="N4" s="36" t="s">
        <v>71</v>
      </c>
    </row>
    <row r="5" spans="2:14" ht="12.95" customHeight="1" thickBot="1" x14ac:dyDescent="0.25">
      <c r="B5" s="49"/>
      <c r="C5" s="49"/>
      <c r="D5" s="49"/>
      <c r="E5" s="49"/>
      <c r="G5" s="49"/>
      <c r="H5" s="49"/>
      <c r="I5" s="49"/>
      <c r="J5" s="49"/>
      <c r="K5" s="26"/>
      <c r="M5" s="37" t="s">
        <v>62</v>
      </c>
      <c r="N5" s="36" t="s">
        <v>72</v>
      </c>
    </row>
    <row r="6" spans="2:14" ht="12.95" customHeight="1" thickBot="1" x14ac:dyDescent="0.25">
      <c r="B6" s="53" t="s">
        <v>1</v>
      </c>
      <c r="C6" s="54" t="s">
        <v>2</v>
      </c>
      <c r="D6" s="54" t="s">
        <v>3</v>
      </c>
      <c r="E6" s="57" t="s">
        <v>4</v>
      </c>
      <c r="G6" s="53" t="s">
        <v>1</v>
      </c>
      <c r="H6" s="54" t="s">
        <v>2</v>
      </c>
      <c r="I6" s="54" t="s">
        <v>3</v>
      </c>
      <c r="J6" s="57" t="s">
        <v>4</v>
      </c>
      <c r="K6" s="31"/>
      <c r="M6" s="37" t="s">
        <v>63</v>
      </c>
      <c r="N6" s="36" t="s">
        <v>73</v>
      </c>
    </row>
    <row r="7" spans="2:14" ht="12.95" customHeight="1" thickBot="1" x14ac:dyDescent="0.25">
      <c r="B7" s="53"/>
      <c r="C7" s="54"/>
      <c r="D7" s="54"/>
      <c r="E7" s="57"/>
      <c r="G7" s="53"/>
      <c r="H7" s="54"/>
      <c r="I7" s="54"/>
      <c r="J7" s="57"/>
      <c r="K7" s="31"/>
      <c r="M7" s="37" t="s">
        <v>64</v>
      </c>
      <c r="N7" s="36" t="s">
        <v>74</v>
      </c>
    </row>
    <row r="8" spans="2:14" ht="12.95" customHeight="1" thickBot="1" x14ac:dyDescent="0.25">
      <c r="B8" s="1" t="s">
        <v>4</v>
      </c>
      <c r="C8" s="21">
        <f>SUM(C9:C26)</f>
        <v>26201</v>
      </c>
      <c r="D8" s="21">
        <f>SUM(D9:D26)</f>
        <v>26302</v>
      </c>
      <c r="E8" s="21">
        <f>SUM(E9:E26)</f>
        <v>52503</v>
      </c>
      <c r="G8" s="1" t="s">
        <v>4</v>
      </c>
      <c r="H8" s="21">
        <f>SUM(H9:H25)</f>
        <v>26201</v>
      </c>
      <c r="I8" s="21">
        <f>SUM(I9:I25)</f>
        <v>26302</v>
      </c>
      <c r="J8" s="21">
        <f>SUM(J9:J25)</f>
        <v>52503</v>
      </c>
      <c r="K8" s="45"/>
      <c r="M8" s="37" t="s">
        <v>66</v>
      </c>
      <c r="N8" s="36" t="s">
        <v>75</v>
      </c>
    </row>
    <row r="9" spans="2:14" ht="12.95" customHeight="1" x14ac:dyDescent="0.2">
      <c r="B9" s="5" t="s">
        <v>5</v>
      </c>
      <c r="C9" s="6">
        <v>531</v>
      </c>
      <c r="D9" s="6">
        <v>506</v>
      </c>
      <c r="E9" s="7">
        <f t="shared" ref="E9:E26" si="0">SUM(C9:D9)</f>
        <v>1037</v>
      </c>
      <c r="G9" s="12" t="s">
        <v>28</v>
      </c>
      <c r="H9" s="6">
        <f>SUM(C9:C10)</f>
        <v>2631</v>
      </c>
      <c r="I9" s="6">
        <f>SUM(D9:D10)</f>
        <v>2506</v>
      </c>
      <c r="J9" s="7">
        <f t="shared" ref="J9:J25" si="1">SUM(H9:I9)</f>
        <v>5137</v>
      </c>
      <c r="K9" s="32"/>
      <c r="M9" s="36" t="s">
        <v>67</v>
      </c>
      <c r="N9" s="36" t="s">
        <v>76</v>
      </c>
    </row>
    <row r="10" spans="2:14" ht="12.95" customHeight="1" x14ac:dyDescent="0.2">
      <c r="B10" s="8" t="s">
        <v>6</v>
      </c>
      <c r="C10" s="6">
        <v>2100</v>
      </c>
      <c r="D10" s="6">
        <v>2000</v>
      </c>
      <c r="E10" s="7">
        <f t="shared" si="0"/>
        <v>4100</v>
      </c>
      <c r="G10" s="12" t="s">
        <v>29</v>
      </c>
      <c r="H10" s="6">
        <f t="shared" ref="H10:I25" si="2">C11</f>
        <v>2446</v>
      </c>
      <c r="I10" s="6">
        <f t="shared" si="2"/>
        <v>2336</v>
      </c>
      <c r="J10" s="7">
        <f t="shared" si="1"/>
        <v>4782</v>
      </c>
      <c r="K10" s="32"/>
      <c r="M10" s="36" t="s">
        <v>68</v>
      </c>
      <c r="N10" s="36" t="s">
        <v>77</v>
      </c>
    </row>
    <row r="11" spans="2:14" ht="12.95" customHeight="1" x14ac:dyDescent="0.2">
      <c r="B11" s="8" t="s">
        <v>7</v>
      </c>
      <c r="C11" s="6">
        <v>2446</v>
      </c>
      <c r="D11" s="6">
        <v>2336</v>
      </c>
      <c r="E11" s="7">
        <f t="shared" si="0"/>
        <v>4782</v>
      </c>
      <c r="G11" s="13" t="s">
        <v>30</v>
      </c>
      <c r="H11" s="6">
        <f t="shared" si="2"/>
        <v>2144</v>
      </c>
      <c r="I11" s="6">
        <f t="shared" si="2"/>
        <v>2066</v>
      </c>
      <c r="J11" s="7">
        <f t="shared" si="1"/>
        <v>4210</v>
      </c>
      <c r="K11" s="32"/>
      <c r="N11" s="36"/>
    </row>
    <row r="12" spans="2:14" ht="12.95" customHeight="1" x14ac:dyDescent="0.2">
      <c r="B12" s="8" t="s">
        <v>8</v>
      </c>
      <c r="C12" s="6">
        <v>2144</v>
      </c>
      <c r="D12" s="6">
        <v>2066</v>
      </c>
      <c r="E12" s="7">
        <f t="shared" si="0"/>
        <v>4210</v>
      </c>
      <c r="G12" s="12" t="s">
        <v>31</v>
      </c>
      <c r="H12" s="6">
        <f t="shared" si="2"/>
        <v>2287</v>
      </c>
      <c r="I12" s="6">
        <f t="shared" si="2"/>
        <v>2138</v>
      </c>
      <c r="J12" s="7">
        <f t="shared" si="1"/>
        <v>4425</v>
      </c>
      <c r="K12" s="32"/>
      <c r="M12" s="37" t="s">
        <v>78</v>
      </c>
      <c r="N12" s="36" t="s">
        <v>79</v>
      </c>
    </row>
    <row r="13" spans="2:14" ht="12.95" customHeight="1" x14ac:dyDescent="0.2">
      <c r="B13" s="8" t="s">
        <v>9</v>
      </c>
      <c r="C13" s="6">
        <v>2287</v>
      </c>
      <c r="D13" s="6">
        <v>2138</v>
      </c>
      <c r="E13" s="7">
        <f t="shared" si="0"/>
        <v>4425</v>
      </c>
      <c r="G13" s="12" t="s">
        <v>32</v>
      </c>
      <c r="H13" s="6">
        <f t="shared" si="2"/>
        <v>2484</v>
      </c>
      <c r="I13" s="6">
        <f t="shared" si="2"/>
        <v>2463</v>
      </c>
      <c r="J13" s="7">
        <f t="shared" si="1"/>
        <v>4947</v>
      </c>
      <c r="K13" s="32"/>
      <c r="M13" s="37" t="s">
        <v>80</v>
      </c>
      <c r="N13" s="36" t="s">
        <v>81</v>
      </c>
    </row>
    <row r="14" spans="2:14" ht="12.95" customHeight="1" x14ac:dyDescent="0.2">
      <c r="B14" s="8" t="s">
        <v>10</v>
      </c>
      <c r="C14" s="6">
        <v>2484</v>
      </c>
      <c r="D14" s="6">
        <v>2463</v>
      </c>
      <c r="E14" s="7">
        <f t="shared" si="0"/>
        <v>4947</v>
      </c>
      <c r="G14" s="14" t="s">
        <v>33</v>
      </c>
      <c r="H14" s="6">
        <f t="shared" si="2"/>
        <v>2308</v>
      </c>
      <c r="I14" s="6">
        <f t="shared" si="2"/>
        <v>2275</v>
      </c>
      <c r="J14" s="7">
        <f t="shared" si="1"/>
        <v>4583</v>
      </c>
      <c r="K14" s="32"/>
      <c r="M14" s="37" t="s">
        <v>82</v>
      </c>
      <c r="N14" s="36" t="s">
        <v>83</v>
      </c>
    </row>
    <row r="15" spans="2:14" ht="12.95" customHeight="1" x14ac:dyDescent="0.2">
      <c r="B15" s="8" t="s">
        <v>11</v>
      </c>
      <c r="C15" s="6">
        <v>2308</v>
      </c>
      <c r="D15" s="6">
        <v>2275</v>
      </c>
      <c r="E15" s="7">
        <f t="shared" si="0"/>
        <v>4583</v>
      </c>
      <c r="G15" s="14" t="s">
        <v>34</v>
      </c>
      <c r="H15" s="6">
        <f t="shared" si="2"/>
        <v>1969</v>
      </c>
      <c r="I15" s="6">
        <f t="shared" si="2"/>
        <v>1952</v>
      </c>
      <c r="J15" s="7">
        <f t="shared" si="1"/>
        <v>3921</v>
      </c>
      <c r="K15" s="32"/>
      <c r="M15" s="37" t="s">
        <v>84</v>
      </c>
      <c r="N15" s="36" t="s">
        <v>85</v>
      </c>
    </row>
    <row r="16" spans="2:14" ht="12.95" customHeight="1" x14ac:dyDescent="0.2">
      <c r="B16" s="8" t="s">
        <v>12</v>
      </c>
      <c r="C16" s="6">
        <v>1969</v>
      </c>
      <c r="D16" s="6">
        <v>1952</v>
      </c>
      <c r="E16" s="7">
        <f t="shared" si="0"/>
        <v>3921</v>
      </c>
      <c r="G16" s="14" t="s">
        <v>35</v>
      </c>
      <c r="H16" s="6">
        <f t="shared" si="2"/>
        <v>1851</v>
      </c>
      <c r="I16" s="6">
        <f t="shared" si="2"/>
        <v>1859</v>
      </c>
      <c r="J16" s="7">
        <f t="shared" si="1"/>
        <v>3710</v>
      </c>
      <c r="K16" s="32"/>
      <c r="M16" s="36"/>
    </row>
    <row r="17" spans="2:19" ht="12.95" customHeight="1" x14ac:dyDescent="0.2">
      <c r="B17" s="8" t="s">
        <v>13</v>
      </c>
      <c r="C17" s="6">
        <v>1851</v>
      </c>
      <c r="D17" s="6">
        <v>1859</v>
      </c>
      <c r="E17" s="7">
        <f t="shared" si="0"/>
        <v>3710</v>
      </c>
      <c r="G17" s="14" t="s">
        <v>36</v>
      </c>
      <c r="H17" s="6">
        <f t="shared" si="2"/>
        <v>1706</v>
      </c>
      <c r="I17" s="6">
        <f t="shared" si="2"/>
        <v>1734</v>
      </c>
      <c r="J17" s="7">
        <f t="shared" si="1"/>
        <v>3440</v>
      </c>
      <c r="K17" s="32"/>
      <c r="M17" s="36"/>
    </row>
    <row r="18" spans="2:19" ht="12.95" customHeight="1" x14ac:dyDescent="0.2">
      <c r="B18" s="8" t="s">
        <v>14</v>
      </c>
      <c r="C18" s="6">
        <v>1706</v>
      </c>
      <c r="D18" s="6">
        <v>1734</v>
      </c>
      <c r="E18" s="7">
        <f t="shared" si="0"/>
        <v>3440</v>
      </c>
      <c r="G18" s="14" t="s">
        <v>37</v>
      </c>
      <c r="H18" s="6">
        <f t="shared" si="2"/>
        <v>1467</v>
      </c>
      <c r="I18" s="6">
        <f t="shared" si="2"/>
        <v>1619</v>
      </c>
      <c r="J18" s="7">
        <f t="shared" si="1"/>
        <v>3086</v>
      </c>
      <c r="K18" s="32"/>
      <c r="M18" s="36"/>
    </row>
    <row r="19" spans="2:19" ht="12.95" customHeight="1" x14ac:dyDescent="0.2">
      <c r="B19" s="8" t="s">
        <v>15</v>
      </c>
      <c r="C19" s="6">
        <v>1467</v>
      </c>
      <c r="D19" s="6">
        <v>1619</v>
      </c>
      <c r="E19" s="7">
        <f t="shared" si="0"/>
        <v>3086</v>
      </c>
      <c r="G19" s="14" t="s">
        <v>38</v>
      </c>
      <c r="H19" s="6">
        <f t="shared" si="2"/>
        <v>1300</v>
      </c>
      <c r="I19" s="6">
        <f t="shared" si="2"/>
        <v>1418</v>
      </c>
      <c r="J19" s="7">
        <f t="shared" si="1"/>
        <v>2718</v>
      </c>
      <c r="K19" s="32"/>
      <c r="M19" s="36"/>
    </row>
    <row r="20" spans="2:19" ht="12.95" customHeight="1" x14ac:dyDescent="0.2">
      <c r="B20" s="8" t="s">
        <v>16</v>
      </c>
      <c r="C20" s="6">
        <v>1300</v>
      </c>
      <c r="D20" s="6">
        <v>1418</v>
      </c>
      <c r="E20" s="7">
        <f t="shared" si="0"/>
        <v>2718</v>
      </c>
      <c r="G20" s="14" t="s">
        <v>39</v>
      </c>
      <c r="H20" s="6">
        <f t="shared" si="2"/>
        <v>1126</v>
      </c>
      <c r="I20" s="6">
        <f t="shared" si="2"/>
        <v>1177</v>
      </c>
      <c r="J20" s="7">
        <f t="shared" si="1"/>
        <v>2303</v>
      </c>
      <c r="K20" s="32"/>
      <c r="M20" s="36"/>
    </row>
    <row r="21" spans="2:19" ht="12.95" customHeight="1" x14ac:dyDescent="0.2">
      <c r="B21" s="8" t="s">
        <v>17</v>
      </c>
      <c r="C21" s="6">
        <v>1126</v>
      </c>
      <c r="D21" s="6">
        <v>1177</v>
      </c>
      <c r="E21" s="7">
        <f t="shared" si="0"/>
        <v>2303</v>
      </c>
      <c r="G21" s="14" t="s">
        <v>40</v>
      </c>
      <c r="H21" s="6">
        <f t="shared" si="2"/>
        <v>848</v>
      </c>
      <c r="I21" s="6">
        <f t="shared" si="2"/>
        <v>934</v>
      </c>
      <c r="J21" s="7">
        <f t="shared" si="1"/>
        <v>1782</v>
      </c>
      <c r="K21" s="32"/>
      <c r="M21" s="36"/>
    </row>
    <row r="22" spans="2:19" ht="12.95" customHeight="1" x14ac:dyDescent="0.2">
      <c r="B22" s="8" t="s">
        <v>18</v>
      </c>
      <c r="C22" s="6">
        <v>848</v>
      </c>
      <c r="D22" s="6">
        <v>934</v>
      </c>
      <c r="E22" s="7">
        <f t="shared" si="0"/>
        <v>1782</v>
      </c>
      <c r="G22" s="14" t="s">
        <v>41</v>
      </c>
      <c r="H22" s="6">
        <f t="shared" si="2"/>
        <v>661</v>
      </c>
      <c r="I22" s="6">
        <f t="shared" si="2"/>
        <v>694</v>
      </c>
      <c r="J22" s="7">
        <f t="shared" si="1"/>
        <v>1355</v>
      </c>
      <c r="K22" s="32"/>
      <c r="M22" s="36"/>
    </row>
    <row r="23" spans="2:19" ht="12.95" customHeight="1" x14ac:dyDescent="0.2">
      <c r="B23" s="8" t="s">
        <v>19</v>
      </c>
      <c r="C23" s="6">
        <v>661</v>
      </c>
      <c r="D23" s="6">
        <v>694</v>
      </c>
      <c r="E23" s="7">
        <f t="shared" si="0"/>
        <v>1355</v>
      </c>
      <c r="G23" s="14" t="s">
        <v>42</v>
      </c>
      <c r="H23" s="6">
        <f t="shared" si="2"/>
        <v>428</v>
      </c>
      <c r="I23" s="6">
        <f t="shared" si="2"/>
        <v>459</v>
      </c>
      <c r="J23" s="7">
        <f t="shared" si="1"/>
        <v>887</v>
      </c>
      <c r="K23" s="32"/>
      <c r="M23" s="36"/>
    </row>
    <row r="24" spans="2:19" ht="12.95" customHeight="1" x14ac:dyDescent="0.2">
      <c r="B24" s="8" t="s">
        <v>20</v>
      </c>
      <c r="C24" s="6">
        <v>428</v>
      </c>
      <c r="D24" s="6">
        <v>459</v>
      </c>
      <c r="E24" s="7">
        <f t="shared" si="0"/>
        <v>887</v>
      </c>
      <c r="G24" s="14" t="s">
        <v>43</v>
      </c>
      <c r="H24" s="6">
        <f t="shared" si="2"/>
        <v>273</v>
      </c>
      <c r="I24" s="6">
        <f t="shared" si="2"/>
        <v>318</v>
      </c>
      <c r="J24" s="7">
        <f t="shared" si="1"/>
        <v>591</v>
      </c>
      <c r="K24" s="32"/>
      <c r="M24" s="36"/>
    </row>
    <row r="25" spans="2:19" ht="12.95" customHeight="1" thickBot="1" x14ac:dyDescent="0.25">
      <c r="B25" s="8" t="s">
        <v>21</v>
      </c>
      <c r="C25" s="6">
        <v>273</v>
      </c>
      <c r="D25" s="6">
        <v>318</v>
      </c>
      <c r="E25" s="7">
        <f t="shared" si="0"/>
        <v>591</v>
      </c>
      <c r="G25" s="15" t="s">
        <v>22</v>
      </c>
      <c r="H25" s="6">
        <f t="shared" si="2"/>
        <v>272</v>
      </c>
      <c r="I25" s="6">
        <f t="shared" si="2"/>
        <v>354</v>
      </c>
      <c r="J25" s="9">
        <f t="shared" si="1"/>
        <v>626</v>
      </c>
      <c r="K25" s="32"/>
      <c r="M25" s="36"/>
    </row>
    <row r="26" spans="2:19" ht="13.35" customHeight="1" thickBot="1" x14ac:dyDescent="0.25">
      <c r="B26" s="17" t="s">
        <v>22</v>
      </c>
      <c r="C26" s="16">
        <v>272</v>
      </c>
      <c r="D26" s="16">
        <v>354</v>
      </c>
      <c r="E26" s="9">
        <f t="shared" si="0"/>
        <v>626</v>
      </c>
      <c r="G26" s="27" t="s">
        <v>50</v>
      </c>
      <c r="H26" t="s">
        <v>57</v>
      </c>
      <c r="I26"/>
      <c r="J26"/>
      <c r="K26"/>
      <c r="M26" s="36"/>
    </row>
    <row r="27" spans="2:19" ht="13.35" customHeight="1" x14ac:dyDescent="0.2">
      <c r="B27" s="27" t="s">
        <v>50</v>
      </c>
      <c r="C27" t="s">
        <v>57</v>
      </c>
      <c r="D27"/>
      <c r="E27"/>
      <c r="G27" s="18" t="s">
        <v>44</v>
      </c>
      <c r="H27"/>
      <c r="I27"/>
      <c r="J27"/>
      <c r="K27"/>
      <c r="M27" s="36"/>
    </row>
    <row r="28" spans="2:19" ht="12.95" customHeight="1" x14ac:dyDescent="0.2">
      <c r="B28" s="18" t="s">
        <v>44</v>
      </c>
      <c r="C28"/>
      <c r="D28"/>
      <c r="E28"/>
      <c r="M28" s="36"/>
    </row>
    <row r="29" spans="2:19" ht="12.95" customHeight="1" x14ac:dyDescent="0.2">
      <c r="M29" s="36"/>
      <c r="N29" s="36"/>
    </row>
    <row r="30" spans="2:19" ht="12.95" customHeight="1" thickBot="1" x14ac:dyDescent="0.25"/>
    <row r="31" spans="2:19" ht="12.95" customHeight="1" thickBot="1" x14ac:dyDescent="0.25">
      <c r="B31" s="48" t="s">
        <v>23</v>
      </c>
      <c r="C31" s="48"/>
      <c r="D31" s="48"/>
      <c r="E31" s="48"/>
      <c r="G31" s="36" t="s">
        <v>60</v>
      </c>
      <c r="H31" s="38">
        <f>$E$37/$E$8*1000</f>
        <v>8.5899853341713808</v>
      </c>
      <c r="I31" s="38"/>
      <c r="J31" s="38"/>
      <c r="K31" s="38"/>
      <c r="M31" s="48" t="s">
        <v>24</v>
      </c>
      <c r="N31" s="48"/>
      <c r="O31" s="48"/>
      <c r="P31" s="48"/>
      <c r="R31" s="36" t="s">
        <v>78</v>
      </c>
      <c r="S31" s="38">
        <f>$P$37/$E$8*1000</f>
        <v>15.751480867759939</v>
      </c>
    </row>
    <row r="32" spans="2:19" ht="12.95" customHeight="1" x14ac:dyDescent="0.2">
      <c r="B32" s="48"/>
      <c r="C32" s="48"/>
      <c r="D32" s="48"/>
      <c r="E32" s="48"/>
      <c r="G32" s="36" t="s">
        <v>61</v>
      </c>
      <c r="H32" s="38">
        <f>$E$38/$P$37*1000</f>
        <v>9.6735187424425622</v>
      </c>
      <c r="I32" s="38"/>
      <c r="J32" s="38"/>
      <c r="K32" s="38"/>
      <c r="M32" s="48"/>
      <c r="N32" s="48"/>
      <c r="O32" s="48"/>
      <c r="P32" s="48"/>
      <c r="R32" s="36" t="s">
        <v>80</v>
      </c>
      <c r="S32" s="38">
        <f>$P$37/SUM($D$13:$D$19)*1000</f>
        <v>58.903133903133906</v>
      </c>
    </row>
    <row r="33" spans="2:19" ht="12.95" customHeight="1" x14ac:dyDescent="0.2">
      <c r="B33" s="60" t="s">
        <v>48</v>
      </c>
      <c r="C33" s="60"/>
      <c r="D33" s="60"/>
      <c r="E33" s="60"/>
      <c r="G33" s="37" t="s">
        <v>62</v>
      </c>
      <c r="H33" s="38">
        <f>$C$37/$C$8*1000</f>
        <v>9.4271211022480053</v>
      </c>
      <c r="I33" s="38"/>
      <c r="J33" s="38"/>
      <c r="K33" s="38"/>
      <c r="M33" s="60" t="s">
        <v>48</v>
      </c>
      <c r="N33" s="60"/>
      <c r="O33" s="60"/>
      <c r="P33" s="60"/>
      <c r="R33" s="36" t="s">
        <v>82</v>
      </c>
      <c r="S33" s="43"/>
    </row>
    <row r="34" spans="2:19" ht="12.95" customHeight="1" thickBot="1" x14ac:dyDescent="0.25">
      <c r="B34" s="61"/>
      <c r="C34" s="61"/>
      <c r="D34" s="61"/>
      <c r="E34" s="61"/>
      <c r="G34" s="37" t="s">
        <v>63</v>
      </c>
      <c r="H34" s="38">
        <f>$D$37/$D$8*1000</f>
        <v>7.7560641776290771</v>
      </c>
      <c r="I34" s="38"/>
      <c r="J34" s="38"/>
      <c r="K34" s="38"/>
      <c r="M34" s="60"/>
      <c r="N34" s="60"/>
      <c r="O34" s="60"/>
      <c r="P34" s="60"/>
    </row>
    <row r="35" spans="2:19" ht="12.95" customHeight="1" thickBot="1" x14ac:dyDescent="0.25">
      <c r="B35" s="53" t="s">
        <v>1</v>
      </c>
      <c r="C35" s="54" t="s">
        <v>2</v>
      </c>
      <c r="D35" s="54" t="s">
        <v>3</v>
      </c>
      <c r="E35" s="57" t="s">
        <v>4</v>
      </c>
      <c r="G35" s="37" t="s">
        <v>64</v>
      </c>
      <c r="H35" s="38">
        <f>$H$33/$H$34</f>
        <v>1.215451662898662</v>
      </c>
      <c r="I35" s="38"/>
      <c r="J35" s="38"/>
      <c r="K35" s="38"/>
      <c r="M35" s="53" t="s">
        <v>1</v>
      </c>
      <c r="N35" s="54" t="s">
        <v>2</v>
      </c>
      <c r="O35" s="54" t="s">
        <v>3</v>
      </c>
      <c r="P35" s="57" t="s">
        <v>4</v>
      </c>
    </row>
    <row r="36" spans="2:19" ht="12.95" customHeight="1" thickBot="1" x14ac:dyDescent="0.25">
      <c r="B36" s="53"/>
      <c r="C36" s="54"/>
      <c r="D36" s="54"/>
      <c r="E36" s="57"/>
      <c r="G36" s="39"/>
      <c r="H36" s="40"/>
      <c r="I36" s="40"/>
      <c r="J36" s="40"/>
      <c r="K36" s="40"/>
      <c r="M36" s="53"/>
      <c r="N36" s="54"/>
      <c r="O36" s="54"/>
      <c r="P36" s="57"/>
      <c r="S36" s="38" t="s">
        <v>84</v>
      </c>
    </row>
    <row r="37" spans="2:19" ht="12.95" customHeight="1" thickBot="1" x14ac:dyDescent="0.25">
      <c r="B37" s="1" t="s">
        <v>4</v>
      </c>
      <c r="C37" s="2">
        <f>SUM(C38:C55)</f>
        <v>247</v>
      </c>
      <c r="D37" s="19">
        <f>SUM(D38:D55)</f>
        <v>204</v>
      </c>
      <c r="E37" s="11">
        <f>SUM(E38:E55)</f>
        <v>451</v>
      </c>
      <c r="G37" s="41" t="s">
        <v>65</v>
      </c>
      <c r="H37" s="42" t="s">
        <v>66</v>
      </c>
      <c r="I37" s="42" t="s">
        <v>67</v>
      </c>
      <c r="J37" s="42" t="s">
        <v>68</v>
      </c>
      <c r="K37" s="35" t="s">
        <v>86</v>
      </c>
      <c r="M37" s="1" t="s">
        <v>4</v>
      </c>
      <c r="N37" s="3">
        <f>SUM(N38:N46)</f>
        <v>405</v>
      </c>
      <c r="O37" s="19">
        <f>SUM(O38:O46)</f>
        <v>422</v>
      </c>
      <c r="P37" s="11">
        <f>SUM(P38:P46)</f>
        <v>827</v>
      </c>
      <c r="R37" s="36" t="s">
        <v>65</v>
      </c>
    </row>
    <row r="38" spans="2:19" ht="12.95" customHeight="1" x14ac:dyDescent="0.2">
      <c r="B38" s="5" t="s">
        <v>5</v>
      </c>
      <c r="C38" s="6">
        <v>6</v>
      </c>
      <c r="D38" s="6">
        <v>2</v>
      </c>
      <c r="E38" s="7">
        <f t="shared" ref="E38:E55" si="3">SUM(C38:D38)</f>
        <v>8</v>
      </c>
      <c r="G38" s="41" t="s">
        <v>5</v>
      </c>
      <c r="H38" s="42">
        <f t="shared" ref="H38:H55" si="4">C38/C9*1000</f>
        <v>11.299435028248588</v>
      </c>
      <c r="I38" s="42">
        <f t="shared" ref="I38:I55" si="5">D38/D9*1000</f>
        <v>3.9525691699604741</v>
      </c>
      <c r="J38" s="42">
        <f>IFERROR(H38/I38,0)</f>
        <v>2.8587570621468927</v>
      </c>
      <c r="K38" s="42">
        <f>E38/E9*1000</f>
        <v>7.714561234329798</v>
      </c>
      <c r="M38" s="5" t="s">
        <v>25</v>
      </c>
      <c r="N38" s="6">
        <v>6</v>
      </c>
      <c r="O38" s="6">
        <v>5</v>
      </c>
      <c r="P38" s="7">
        <f t="shared" ref="P38:P46" si="6">SUM(N38:O38)</f>
        <v>11</v>
      </c>
    </row>
    <row r="39" spans="2:19" ht="12.95" customHeight="1" x14ac:dyDescent="0.2">
      <c r="B39" s="8" t="s">
        <v>6</v>
      </c>
      <c r="C39" s="6">
        <v>2</v>
      </c>
      <c r="D39" s="6">
        <v>2</v>
      </c>
      <c r="E39" s="7">
        <f t="shared" si="3"/>
        <v>4</v>
      </c>
      <c r="G39" s="41" t="s">
        <v>6</v>
      </c>
      <c r="H39" s="42">
        <f t="shared" si="4"/>
        <v>0.95238095238095233</v>
      </c>
      <c r="I39" s="42">
        <f t="shared" si="5"/>
        <v>1</v>
      </c>
      <c r="J39" s="42">
        <f t="shared" ref="J39:J55" si="7">IFERROR(H39/I39,0)</f>
        <v>0.95238095238095233</v>
      </c>
      <c r="K39" s="42">
        <f t="shared" ref="K39:K55" si="8">E39/E10*1000</f>
        <v>0.97560975609756095</v>
      </c>
      <c r="M39" s="8" t="s">
        <v>26</v>
      </c>
      <c r="N39" s="6">
        <v>94</v>
      </c>
      <c r="O39" s="6">
        <v>95</v>
      </c>
      <c r="P39" s="7">
        <f t="shared" si="6"/>
        <v>189</v>
      </c>
      <c r="R39" s="36" t="s">
        <v>26</v>
      </c>
      <c r="S39" s="38">
        <f t="shared" ref="S39:S45" si="9">P39/D13*1000</f>
        <v>88.400374181478014</v>
      </c>
    </row>
    <row r="40" spans="2:19" ht="12.95" customHeight="1" x14ac:dyDescent="0.2">
      <c r="B40" s="8" t="s">
        <v>7</v>
      </c>
      <c r="C40" s="6"/>
      <c r="D40" s="6"/>
      <c r="E40" s="7">
        <f t="shared" si="3"/>
        <v>0</v>
      </c>
      <c r="G40" s="41" t="s">
        <v>7</v>
      </c>
      <c r="H40" s="42">
        <f t="shared" si="4"/>
        <v>0</v>
      </c>
      <c r="I40" s="42">
        <f t="shared" si="5"/>
        <v>0</v>
      </c>
      <c r="J40" s="42">
        <f t="shared" si="7"/>
        <v>0</v>
      </c>
      <c r="K40" s="42">
        <f t="shared" si="8"/>
        <v>0</v>
      </c>
      <c r="M40" s="8" t="s">
        <v>10</v>
      </c>
      <c r="N40" s="6">
        <v>116</v>
      </c>
      <c r="O40" s="6">
        <v>109</v>
      </c>
      <c r="P40" s="7">
        <f t="shared" si="6"/>
        <v>225</v>
      </c>
      <c r="R40" s="36" t="s">
        <v>10</v>
      </c>
      <c r="S40" s="38">
        <f t="shared" si="9"/>
        <v>91.352009744214371</v>
      </c>
    </row>
    <row r="41" spans="2:19" ht="12.95" customHeight="1" x14ac:dyDescent="0.2">
      <c r="B41" s="8" t="s">
        <v>8</v>
      </c>
      <c r="C41" s="6"/>
      <c r="D41" s="6">
        <v>1</v>
      </c>
      <c r="E41" s="7">
        <f t="shared" si="3"/>
        <v>1</v>
      </c>
      <c r="G41" s="41" t="s">
        <v>8</v>
      </c>
      <c r="H41" s="42">
        <f t="shared" si="4"/>
        <v>0</v>
      </c>
      <c r="I41" s="42">
        <f t="shared" si="5"/>
        <v>0.48402710551790901</v>
      </c>
      <c r="J41" s="42">
        <f t="shared" si="7"/>
        <v>0</v>
      </c>
      <c r="K41" s="42">
        <f t="shared" si="8"/>
        <v>0.23752969121140141</v>
      </c>
      <c r="M41" s="8" t="s">
        <v>11</v>
      </c>
      <c r="N41" s="6">
        <v>84</v>
      </c>
      <c r="O41" s="6">
        <v>102</v>
      </c>
      <c r="P41" s="7">
        <f t="shared" si="6"/>
        <v>186</v>
      </c>
      <c r="R41" s="36" t="s">
        <v>11</v>
      </c>
      <c r="S41" s="38">
        <f t="shared" si="9"/>
        <v>81.758241758241752</v>
      </c>
    </row>
    <row r="42" spans="2:19" ht="12.95" customHeight="1" x14ac:dyDescent="0.2">
      <c r="B42" s="8" t="s">
        <v>9</v>
      </c>
      <c r="C42" s="6">
        <v>3</v>
      </c>
      <c r="D42" s="6">
        <v>2</v>
      </c>
      <c r="E42" s="7">
        <f t="shared" si="3"/>
        <v>5</v>
      </c>
      <c r="G42" s="41" t="s">
        <v>9</v>
      </c>
      <c r="H42" s="42">
        <f t="shared" si="4"/>
        <v>1.3117621337997378</v>
      </c>
      <c r="I42" s="42">
        <f t="shared" si="5"/>
        <v>0.93545369504209541</v>
      </c>
      <c r="J42" s="42">
        <f t="shared" si="7"/>
        <v>1.4022737210319198</v>
      </c>
      <c r="K42" s="42">
        <f t="shared" si="8"/>
        <v>1.1299435028248588</v>
      </c>
      <c r="M42" s="8" t="s">
        <v>12</v>
      </c>
      <c r="N42" s="6">
        <v>58</v>
      </c>
      <c r="O42" s="6">
        <v>62</v>
      </c>
      <c r="P42" s="7">
        <f t="shared" si="6"/>
        <v>120</v>
      </c>
      <c r="R42" s="36" t="s">
        <v>12</v>
      </c>
      <c r="S42" s="38">
        <f t="shared" si="9"/>
        <v>61.475409836065573</v>
      </c>
    </row>
    <row r="43" spans="2:19" ht="12.95" customHeight="1" x14ac:dyDescent="0.2">
      <c r="B43" s="8" t="s">
        <v>10</v>
      </c>
      <c r="C43" s="6">
        <v>6</v>
      </c>
      <c r="D43" s="6">
        <v>4</v>
      </c>
      <c r="E43" s="7">
        <f t="shared" si="3"/>
        <v>10</v>
      </c>
      <c r="G43" s="41" t="s">
        <v>10</v>
      </c>
      <c r="H43" s="42">
        <f t="shared" si="4"/>
        <v>2.4154589371980677</v>
      </c>
      <c r="I43" s="42">
        <f t="shared" si="5"/>
        <v>1.6240357287860332</v>
      </c>
      <c r="J43" s="42">
        <f t="shared" si="7"/>
        <v>1.4873188405797102</v>
      </c>
      <c r="K43" s="42">
        <f t="shared" si="8"/>
        <v>2.0214271275520521</v>
      </c>
      <c r="M43" s="8" t="s">
        <v>13</v>
      </c>
      <c r="N43" s="6">
        <v>30</v>
      </c>
      <c r="O43" s="6">
        <v>36</v>
      </c>
      <c r="P43" s="7">
        <f t="shared" si="6"/>
        <v>66</v>
      </c>
      <c r="R43" s="36" t="s">
        <v>13</v>
      </c>
      <c r="S43" s="38">
        <f t="shared" si="9"/>
        <v>35.502958579881657</v>
      </c>
    </row>
    <row r="44" spans="2:19" ht="12.95" customHeight="1" x14ac:dyDescent="0.2">
      <c r="B44" s="8" t="s">
        <v>11</v>
      </c>
      <c r="C44" s="6">
        <v>7</v>
      </c>
      <c r="D44" s="6">
        <v>7</v>
      </c>
      <c r="E44" s="7">
        <f t="shared" si="3"/>
        <v>14</v>
      </c>
      <c r="G44" s="41" t="s">
        <v>11</v>
      </c>
      <c r="H44" s="42">
        <f t="shared" si="4"/>
        <v>3.0329289428076258</v>
      </c>
      <c r="I44" s="42">
        <f t="shared" si="5"/>
        <v>3.0769230769230771</v>
      </c>
      <c r="J44" s="42">
        <f t="shared" si="7"/>
        <v>0.98570190641247835</v>
      </c>
      <c r="K44" s="42">
        <f t="shared" si="8"/>
        <v>3.0547676194632336</v>
      </c>
      <c r="M44" s="8" t="s">
        <v>14</v>
      </c>
      <c r="N44" s="6">
        <v>17</v>
      </c>
      <c r="O44" s="6">
        <v>12</v>
      </c>
      <c r="P44" s="7">
        <f t="shared" si="6"/>
        <v>29</v>
      </c>
      <c r="R44" s="36" t="s">
        <v>14</v>
      </c>
      <c r="S44" s="38">
        <f t="shared" si="9"/>
        <v>16.724336793540942</v>
      </c>
    </row>
    <row r="45" spans="2:19" ht="12.95" customHeight="1" x14ac:dyDescent="0.2">
      <c r="B45" s="8" t="s">
        <v>12</v>
      </c>
      <c r="C45" s="6">
        <v>8</v>
      </c>
      <c r="D45" s="6">
        <v>3</v>
      </c>
      <c r="E45" s="7">
        <f t="shared" si="3"/>
        <v>11</v>
      </c>
      <c r="G45" s="41" t="s">
        <v>12</v>
      </c>
      <c r="H45" s="42">
        <f t="shared" si="4"/>
        <v>4.0629761300152358</v>
      </c>
      <c r="I45" s="42">
        <f t="shared" si="5"/>
        <v>1.5368852459016393</v>
      </c>
      <c r="J45" s="42">
        <f t="shared" si="7"/>
        <v>2.6436431352632468</v>
      </c>
      <c r="K45" s="42">
        <f t="shared" si="8"/>
        <v>2.8054067839836776</v>
      </c>
      <c r="M45" s="8" t="s">
        <v>15</v>
      </c>
      <c r="N45" s="6"/>
      <c r="O45" s="6">
        <v>1</v>
      </c>
      <c r="P45" s="7">
        <f t="shared" si="6"/>
        <v>1</v>
      </c>
      <c r="R45" s="36" t="s">
        <v>15</v>
      </c>
      <c r="S45" s="38">
        <f t="shared" si="9"/>
        <v>0.61766522544780733</v>
      </c>
    </row>
    <row r="46" spans="2:19" ht="12.95" customHeight="1" thickBot="1" x14ac:dyDescent="0.25">
      <c r="B46" s="8" t="s">
        <v>13</v>
      </c>
      <c r="C46" s="6">
        <v>9</v>
      </c>
      <c r="D46" s="6">
        <v>7</v>
      </c>
      <c r="E46" s="7">
        <f t="shared" si="3"/>
        <v>16</v>
      </c>
      <c r="G46" s="41" t="s">
        <v>13</v>
      </c>
      <c r="H46" s="42">
        <f t="shared" si="4"/>
        <v>4.8622366288492707</v>
      </c>
      <c r="I46" s="42">
        <f t="shared" si="5"/>
        <v>3.7654653039268422</v>
      </c>
      <c r="J46" s="42">
        <f t="shared" si="7"/>
        <v>1.2912711275758277</v>
      </c>
      <c r="K46" s="42">
        <f t="shared" si="8"/>
        <v>4.3126684636118604</v>
      </c>
      <c r="M46" s="10" t="s">
        <v>27</v>
      </c>
      <c r="N46" s="16"/>
      <c r="O46" s="16"/>
      <c r="P46" s="9">
        <f t="shared" si="6"/>
        <v>0</v>
      </c>
    </row>
    <row r="47" spans="2:19" ht="12.95" customHeight="1" x14ac:dyDescent="0.2">
      <c r="B47" s="8" t="s">
        <v>14</v>
      </c>
      <c r="C47" s="6">
        <v>8</v>
      </c>
      <c r="D47" s="6">
        <v>6</v>
      </c>
      <c r="E47" s="7">
        <f t="shared" si="3"/>
        <v>14</v>
      </c>
      <c r="G47" s="41" t="s">
        <v>14</v>
      </c>
      <c r="H47" s="42">
        <f t="shared" si="4"/>
        <v>4.6893317702227426</v>
      </c>
      <c r="I47" s="42">
        <f t="shared" si="5"/>
        <v>3.4602076124567476</v>
      </c>
      <c r="J47" s="42">
        <f t="shared" si="7"/>
        <v>1.3552168815943726</v>
      </c>
      <c r="K47" s="42">
        <f t="shared" si="8"/>
        <v>4.0697674418604652</v>
      </c>
      <c r="M47" s="27" t="s">
        <v>50</v>
      </c>
      <c r="N47" t="s">
        <v>56</v>
      </c>
      <c r="O47"/>
      <c r="P47"/>
    </row>
    <row r="48" spans="2:19" ht="12.95" customHeight="1" x14ac:dyDescent="0.2">
      <c r="B48" s="8" t="s">
        <v>15</v>
      </c>
      <c r="C48" s="6">
        <v>20</v>
      </c>
      <c r="D48" s="6">
        <v>11</v>
      </c>
      <c r="E48" s="7">
        <f t="shared" si="3"/>
        <v>31</v>
      </c>
      <c r="G48" s="41" t="s">
        <v>15</v>
      </c>
      <c r="H48" s="42">
        <f t="shared" si="4"/>
        <v>13.633265167007499</v>
      </c>
      <c r="I48" s="42">
        <f t="shared" si="5"/>
        <v>6.7943174799258808</v>
      </c>
      <c r="J48" s="42">
        <f t="shared" si="7"/>
        <v>2.0065687550350129</v>
      </c>
      <c r="K48" s="42">
        <f t="shared" si="8"/>
        <v>10.045366169799093</v>
      </c>
      <c r="M48" s="18" t="s">
        <v>44</v>
      </c>
      <c r="N48"/>
      <c r="O48"/>
      <c r="P48"/>
    </row>
    <row r="49" spans="2:14" ht="12.95" customHeight="1" x14ac:dyDescent="0.2">
      <c r="B49" s="8" t="s">
        <v>16</v>
      </c>
      <c r="C49" s="6">
        <v>20</v>
      </c>
      <c r="D49" s="6">
        <v>13</v>
      </c>
      <c r="E49" s="7">
        <f t="shared" si="3"/>
        <v>33</v>
      </c>
      <c r="G49" s="41" t="s">
        <v>16</v>
      </c>
      <c r="H49" s="42">
        <f t="shared" si="4"/>
        <v>15.384615384615385</v>
      </c>
      <c r="I49" s="42">
        <f t="shared" si="5"/>
        <v>9.1678420310296183</v>
      </c>
      <c r="J49" s="42">
        <f t="shared" si="7"/>
        <v>1.6781065088757399</v>
      </c>
      <c r="K49" s="42">
        <f t="shared" si="8"/>
        <v>12.141280353200882</v>
      </c>
    </row>
    <row r="50" spans="2:14" ht="12.95" customHeight="1" x14ac:dyDescent="0.2">
      <c r="B50" s="8" t="s">
        <v>17</v>
      </c>
      <c r="C50" s="6">
        <v>24</v>
      </c>
      <c r="D50" s="6">
        <v>23</v>
      </c>
      <c r="E50" s="7">
        <f t="shared" si="3"/>
        <v>47</v>
      </c>
      <c r="G50" s="41" t="s">
        <v>17</v>
      </c>
      <c r="H50" s="42">
        <f t="shared" si="4"/>
        <v>21.314387211367674</v>
      </c>
      <c r="I50" s="42">
        <f t="shared" si="5"/>
        <v>19.541206457094308</v>
      </c>
      <c r="J50" s="42">
        <f t="shared" si="7"/>
        <v>1.0907405977295543</v>
      </c>
      <c r="K50" s="42">
        <f t="shared" si="8"/>
        <v>20.408163265306122</v>
      </c>
    </row>
    <row r="51" spans="2:14" ht="12.95" customHeight="1" x14ac:dyDescent="0.2">
      <c r="B51" s="8" t="s">
        <v>18</v>
      </c>
      <c r="C51" s="6">
        <v>25</v>
      </c>
      <c r="D51" s="6">
        <v>20</v>
      </c>
      <c r="E51" s="7">
        <f t="shared" si="3"/>
        <v>45</v>
      </c>
      <c r="G51" s="41" t="s">
        <v>18</v>
      </c>
      <c r="H51" s="42">
        <f t="shared" si="4"/>
        <v>29.481132075471699</v>
      </c>
      <c r="I51" s="42">
        <f t="shared" si="5"/>
        <v>21.413276231263382</v>
      </c>
      <c r="J51" s="42">
        <f t="shared" si="7"/>
        <v>1.3767688679245285</v>
      </c>
      <c r="K51" s="42">
        <f t="shared" si="8"/>
        <v>25.252525252525253</v>
      </c>
    </row>
    <row r="52" spans="2:14" ht="12.95" customHeight="1" x14ac:dyDescent="0.2">
      <c r="B52" s="8" t="s">
        <v>19</v>
      </c>
      <c r="C52" s="6">
        <v>25</v>
      </c>
      <c r="D52" s="6">
        <v>15</v>
      </c>
      <c r="E52" s="7">
        <f t="shared" si="3"/>
        <v>40</v>
      </c>
      <c r="G52" s="41" t="s">
        <v>19</v>
      </c>
      <c r="H52" s="42">
        <f t="shared" si="4"/>
        <v>37.821482602118003</v>
      </c>
      <c r="I52" s="42">
        <f t="shared" si="5"/>
        <v>21.613832853025936</v>
      </c>
      <c r="J52" s="42">
        <f t="shared" si="7"/>
        <v>1.7498739283913263</v>
      </c>
      <c r="K52" s="42">
        <f t="shared" si="8"/>
        <v>29.520295202952028</v>
      </c>
    </row>
    <row r="53" spans="2:14" ht="12.95" customHeight="1" x14ac:dyDescent="0.2">
      <c r="B53" s="8" t="s">
        <v>20</v>
      </c>
      <c r="C53" s="6">
        <v>32</v>
      </c>
      <c r="D53" s="6">
        <v>17</v>
      </c>
      <c r="E53" s="7">
        <f t="shared" si="3"/>
        <v>49</v>
      </c>
      <c r="G53" s="41" t="s">
        <v>20</v>
      </c>
      <c r="H53" s="42">
        <f t="shared" si="4"/>
        <v>74.766355140186917</v>
      </c>
      <c r="I53" s="42">
        <f t="shared" si="5"/>
        <v>37.037037037037038</v>
      </c>
      <c r="J53" s="42">
        <f t="shared" si="7"/>
        <v>2.0186915887850465</v>
      </c>
      <c r="K53" s="42">
        <f t="shared" si="8"/>
        <v>55.242390078917701</v>
      </c>
    </row>
    <row r="54" spans="2:14" ht="12.95" customHeight="1" x14ac:dyDescent="0.2">
      <c r="B54" s="8" t="s">
        <v>21</v>
      </c>
      <c r="C54" s="6">
        <v>22</v>
      </c>
      <c r="D54" s="6">
        <v>16</v>
      </c>
      <c r="E54" s="7">
        <f t="shared" si="3"/>
        <v>38</v>
      </c>
      <c r="G54" s="41" t="s">
        <v>21</v>
      </c>
      <c r="H54" s="42">
        <f t="shared" si="4"/>
        <v>80.586080586080598</v>
      </c>
      <c r="I54" s="42">
        <f t="shared" si="5"/>
        <v>50.314465408805034</v>
      </c>
      <c r="J54" s="42">
        <f t="shared" si="7"/>
        <v>1.6016483516483517</v>
      </c>
      <c r="K54" s="42">
        <f t="shared" si="8"/>
        <v>64.297800338409473</v>
      </c>
    </row>
    <row r="55" spans="2:14" ht="12.95" customHeight="1" thickBot="1" x14ac:dyDescent="0.25">
      <c r="B55" s="17" t="s">
        <v>22</v>
      </c>
      <c r="C55" s="16">
        <v>30</v>
      </c>
      <c r="D55" s="16">
        <v>55</v>
      </c>
      <c r="E55" s="9">
        <f t="shared" si="3"/>
        <v>85</v>
      </c>
      <c r="G55" s="41" t="s">
        <v>22</v>
      </c>
      <c r="H55" s="42">
        <f t="shared" si="4"/>
        <v>110.29411764705883</v>
      </c>
      <c r="I55" s="42">
        <f t="shared" si="5"/>
        <v>155.3672316384181</v>
      </c>
      <c r="J55" s="42">
        <f t="shared" si="7"/>
        <v>0.7098930481283422</v>
      </c>
      <c r="K55" s="42">
        <f t="shared" si="8"/>
        <v>135.78274760383385</v>
      </c>
    </row>
    <row r="56" spans="2:14" ht="12.95" customHeight="1" x14ac:dyDescent="0.2">
      <c r="B56" s="27" t="s">
        <v>50</v>
      </c>
      <c r="C56" t="s">
        <v>55</v>
      </c>
      <c r="D56"/>
      <c r="E56"/>
    </row>
    <row r="57" spans="2:14" ht="12.95" customHeight="1" x14ac:dyDescent="0.2">
      <c r="B57" s="18" t="s">
        <v>44</v>
      </c>
      <c r="C57"/>
      <c r="D57"/>
      <c r="E57"/>
    </row>
    <row r="58" spans="2:14" ht="12.95" customHeight="1" x14ac:dyDescent="0.2"/>
    <row r="59" spans="2:14" ht="12.95" customHeight="1" thickBot="1" x14ac:dyDescent="0.25">
      <c r="M59" s="36"/>
    </row>
    <row r="60" spans="2:14" ht="12.95" customHeight="1" thickBot="1" x14ac:dyDescent="0.25">
      <c r="B60" s="48" t="s">
        <v>0</v>
      </c>
      <c r="C60" s="48"/>
      <c r="D60" s="48"/>
      <c r="E60" s="48"/>
      <c r="G60" s="48" t="s">
        <v>0</v>
      </c>
      <c r="H60" s="48"/>
      <c r="I60" s="48"/>
      <c r="J60" s="48"/>
      <c r="K60" s="44"/>
      <c r="M60" s="36" t="s">
        <v>69</v>
      </c>
      <c r="N60" s="36"/>
    </row>
    <row r="61" spans="2:14" ht="12.95" customHeight="1" x14ac:dyDescent="0.2">
      <c r="B61" s="48"/>
      <c r="C61" s="48"/>
      <c r="D61" s="48"/>
      <c r="E61" s="48"/>
      <c r="G61" s="48"/>
      <c r="H61" s="48"/>
      <c r="I61" s="48"/>
      <c r="J61" s="48"/>
      <c r="K61" s="44"/>
      <c r="M61" s="36" t="s">
        <v>60</v>
      </c>
      <c r="N61" s="36" t="s">
        <v>70</v>
      </c>
    </row>
    <row r="62" spans="2:14" ht="12.95" customHeight="1" x14ac:dyDescent="0.2">
      <c r="B62" s="49" t="s">
        <v>47</v>
      </c>
      <c r="C62" s="49"/>
      <c r="D62" s="49"/>
      <c r="E62" s="49"/>
      <c r="G62" s="49" t="s">
        <v>47</v>
      </c>
      <c r="H62" s="49"/>
      <c r="I62" s="49"/>
      <c r="J62" s="49"/>
      <c r="K62" s="26"/>
      <c r="M62" s="36" t="s">
        <v>61</v>
      </c>
      <c r="N62" s="36" t="s">
        <v>71</v>
      </c>
    </row>
    <row r="63" spans="2:14" ht="12.95" customHeight="1" thickBot="1" x14ac:dyDescent="0.25">
      <c r="B63" s="49"/>
      <c r="C63" s="49"/>
      <c r="D63" s="49"/>
      <c r="E63" s="49"/>
      <c r="G63" s="49"/>
      <c r="H63" s="49"/>
      <c r="I63" s="49"/>
      <c r="J63" s="49"/>
      <c r="K63" s="26"/>
      <c r="M63" s="37" t="s">
        <v>62</v>
      </c>
      <c r="N63" s="36" t="s">
        <v>72</v>
      </c>
    </row>
    <row r="64" spans="2:14" ht="12.95" customHeight="1" thickBot="1" x14ac:dyDescent="0.25">
      <c r="B64" s="53" t="s">
        <v>1</v>
      </c>
      <c r="C64" s="54" t="s">
        <v>2</v>
      </c>
      <c r="D64" s="54" t="s">
        <v>3</v>
      </c>
      <c r="E64" s="57" t="s">
        <v>4</v>
      </c>
      <c r="G64" s="53" t="s">
        <v>1</v>
      </c>
      <c r="H64" s="54" t="s">
        <v>2</v>
      </c>
      <c r="I64" s="54" t="s">
        <v>3</v>
      </c>
      <c r="J64" s="57" t="s">
        <v>4</v>
      </c>
      <c r="K64" s="31"/>
      <c r="M64" s="37" t="s">
        <v>63</v>
      </c>
      <c r="N64" s="36" t="s">
        <v>73</v>
      </c>
    </row>
    <row r="65" spans="2:14" ht="12.95" customHeight="1" thickBot="1" x14ac:dyDescent="0.25">
      <c r="B65" s="53"/>
      <c r="C65" s="54"/>
      <c r="D65" s="54"/>
      <c r="E65" s="57"/>
      <c r="G65" s="53"/>
      <c r="H65" s="54"/>
      <c r="I65" s="54"/>
      <c r="J65" s="57"/>
      <c r="K65" s="31"/>
      <c r="M65" s="37" t="s">
        <v>64</v>
      </c>
      <c r="N65" s="36" t="s">
        <v>74</v>
      </c>
    </row>
    <row r="66" spans="2:14" ht="12.95" customHeight="1" thickBot="1" x14ac:dyDescent="0.25">
      <c r="B66" s="1" t="s">
        <v>4</v>
      </c>
      <c r="C66" s="21">
        <f>SUM(C67:C84)</f>
        <v>22048</v>
      </c>
      <c r="D66" s="21">
        <f>SUM(D67:D84)</f>
        <v>22483</v>
      </c>
      <c r="E66" s="21">
        <f>SUM(E67:E84)</f>
        <v>44531</v>
      </c>
      <c r="G66" s="1" t="s">
        <v>4</v>
      </c>
      <c r="H66" s="21">
        <f>SUM(H67:H83)</f>
        <v>22048</v>
      </c>
      <c r="I66" s="21">
        <f>SUM(I67:I83)</f>
        <v>22483</v>
      </c>
      <c r="J66" s="21">
        <f>SUM(J67:J83)</f>
        <v>44531</v>
      </c>
      <c r="K66" s="45"/>
      <c r="M66" s="37" t="s">
        <v>66</v>
      </c>
      <c r="N66" s="36" t="s">
        <v>75</v>
      </c>
    </row>
    <row r="67" spans="2:14" ht="12.95" customHeight="1" x14ac:dyDescent="0.2">
      <c r="B67" s="5" t="s">
        <v>5</v>
      </c>
      <c r="C67" s="6">
        <v>424</v>
      </c>
      <c r="D67" s="6">
        <v>426</v>
      </c>
      <c r="E67" s="7">
        <f t="shared" ref="E67:E84" si="10">SUM(C67:D67)</f>
        <v>850</v>
      </c>
      <c r="G67" s="12" t="s">
        <v>28</v>
      </c>
      <c r="H67" s="6">
        <f>SUM(C67:C68)</f>
        <v>2173</v>
      </c>
      <c r="I67" s="6">
        <f>SUM(D67:D68)</f>
        <v>2100</v>
      </c>
      <c r="J67" s="7">
        <f t="shared" ref="J67:J83" si="11">SUM(H67:I67)</f>
        <v>4273</v>
      </c>
      <c r="K67" s="32"/>
      <c r="M67" s="36" t="s">
        <v>67</v>
      </c>
      <c r="N67" s="36" t="s">
        <v>76</v>
      </c>
    </row>
    <row r="68" spans="2:14" ht="12.95" customHeight="1" x14ac:dyDescent="0.2">
      <c r="B68" s="8" t="s">
        <v>6</v>
      </c>
      <c r="C68" s="6">
        <v>1749</v>
      </c>
      <c r="D68" s="6">
        <v>1674</v>
      </c>
      <c r="E68" s="7">
        <f t="shared" si="10"/>
        <v>3423</v>
      </c>
      <c r="G68" s="12" t="s">
        <v>29</v>
      </c>
      <c r="H68" s="6">
        <f>C69</f>
        <v>2298</v>
      </c>
      <c r="I68" s="6">
        <f>D69</f>
        <v>2156</v>
      </c>
      <c r="J68" s="7">
        <f t="shared" si="11"/>
        <v>4454</v>
      </c>
      <c r="K68" s="32"/>
      <c r="M68" s="36" t="s">
        <v>68</v>
      </c>
      <c r="N68" s="36" t="s">
        <v>77</v>
      </c>
    </row>
    <row r="69" spans="2:14" ht="12.95" customHeight="1" x14ac:dyDescent="0.2">
      <c r="B69" s="8" t="s">
        <v>7</v>
      </c>
      <c r="C69" s="6">
        <v>2298</v>
      </c>
      <c r="D69" s="6">
        <v>2156</v>
      </c>
      <c r="E69" s="7">
        <f t="shared" si="10"/>
        <v>4454</v>
      </c>
      <c r="G69" s="13" t="s">
        <v>30</v>
      </c>
      <c r="H69" s="6">
        <f t="shared" ref="H69:I83" si="12">C70</f>
        <v>2419</v>
      </c>
      <c r="I69" s="6">
        <f t="shared" si="12"/>
        <v>2384</v>
      </c>
      <c r="J69" s="7">
        <f t="shared" si="11"/>
        <v>4803</v>
      </c>
      <c r="K69" s="32"/>
      <c r="N69" s="36"/>
    </row>
    <row r="70" spans="2:14" ht="12.95" customHeight="1" x14ac:dyDescent="0.2">
      <c r="B70" s="8" t="s">
        <v>8</v>
      </c>
      <c r="C70" s="6">
        <v>2419</v>
      </c>
      <c r="D70" s="6">
        <v>2384</v>
      </c>
      <c r="E70" s="7">
        <f t="shared" si="10"/>
        <v>4803</v>
      </c>
      <c r="G70" s="12" t="s">
        <v>31</v>
      </c>
      <c r="H70" s="6">
        <f t="shared" si="12"/>
        <v>2245</v>
      </c>
      <c r="I70" s="6">
        <f t="shared" si="12"/>
        <v>2204</v>
      </c>
      <c r="J70" s="7">
        <f t="shared" si="11"/>
        <v>4449</v>
      </c>
      <c r="K70" s="32"/>
      <c r="M70" s="37" t="s">
        <v>78</v>
      </c>
      <c r="N70" s="36" t="s">
        <v>79</v>
      </c>
    </row>
    <row r="71" spans="2:14" ht="12.95" customHeight="1" x14ac:dyDescent="0.2">
      <c r="B71" s="8" t="s">
        <v>9</v>
      </c>
      <c r="C71" s="6">
        <v>2245</v>
      </c>
      <c r="D71" s="6">
        <v>2204</v>
      </c>
      <c r="E71" s="7">
        <f t="shared" si="10"/>
        <v>4449</v>
      </c>
      <c r="G71" s="12" t="s">
        <v>32</v>
      </c>
      <c r="H71" s="6">
        <f t="shared" si="12"/>
        <v>1962</v>
      </c>
      <c r="I71" s="6">
        <f t="shared" si="12"/>
        <v>1931</v>
      </c>
      <c r="J71" s="7">
        <f t="shared" si="11"/>
        <v>3893</v>
      </c>
      <c r="K71" s="32"/>
      <c r="M71" s="37" t="s">
        <v>80</v>
      </c>
      <c r="N71" s="36" t="s">
        <v>81</v>
      </c>
    </row>
    <row r="72" spans="2:14" ht="12.95" customHeight="1" x14ac:dyDescent="0.2">
      <c r="B72" s="8" t="s">
        <v>10</v>
      </c>
      <c r="C72" s="6">
        <v>1962</v>
      </c>
      <c r="D72" s="6">
        <v>1931</v>
      </c>
      <c r="E72" s="7">
        <f t="shared" si="10"/>
        <v>3893</v>
      </c>
      <c r="G72" s="14" t="s">
        <v>33</v>
      </c>
      <c r="H72" s="6">
        <f t="shared" si="12"/>
        <v>1829</v>
      </c>
      <c r="I72" s="6">
        <f t="shared" si="12"/>
        <v>1857</v>
      </c>
      <c r="J72" s="7">
        <f t="shared" si="11"/>
        <v>3686</v>
      </c>
      <c r="K72" s="32"/>
      <c r="M72" s="37" t="s">
        <v>82</v>
      </c>
      <c r="N72" s="36" t="s">
        <v>83</v>
      </c>
    </row>
    <row r="73" spans="2:14" ht="12.95" customHeight="1" x14ac:dyDescent="0.2">
      <c r="B73" s="8" t="s">
        <v>11</v>
      </c>
      <c r="C73" s="6">
        <v>1829</v>
      </c>
      <c r="D73" s="6">
        <v>1857</v>
      </c>
      <c r="E73" s="7">
        <f t="shared" si="10"/>
        <v>3686</v>
      </c>
      <c r="G73" s="14" t="s">
        <v>34</v>
      </c>
      <c r="H73" s="6">
        <f t="shared" si="12"/>
        <v>1699</v>
      </c>
      <c r="I73" s="6">
        <f t="shared" si="12"/>
        <v>1775</v>
      </c>
      <c r="J73" s="7">
        <f t="shared" si="11"/>
        <v>3474</v>
      </c>
      <c r="K73" s="32"/>
      <c r="M73" s="37" t="s">
        <v>84</v>
      </c>
      <c r="N73" s="36" t="s">
        <v>85</v>
      </c>
    </row>
    <row r="74" spans="2:14" ht="12.95" customHeight="1" x14ac:dyDescent="0.2">
      <c r="B74" s="8" t="s">
        <v>12</v>
      </c>
      <c r="C74" s="6">
        <v>1699</v>
      </c>
      <c r="D74" s="6">
        <v>1775</v>
      </c>
      <c r="E74" s="7">
        <f t="shared" si="10"/>
        <v>3474</v>
      </c>
      <c r="G74" s="14" t="s">
        <v>35</v>
      </c>
      <c r="H74" s="6">
        <f t="shared" si="12"/>
        <v>1519</v>
      </c>
      <c r="I74" s="6">
        <f t="shared" si="12"/>
        <v>1671</v>
      </c>
      <c r="J74" s="7">
        <f t="shared" si="11"/>
        <v>3190</v>
      </c>
      <c r="K74" s="32"/>
      <c r="M74" s="36"/>
    </row>
    <row r="75" spans="2:14" ht="12.95" customHeight="1" x14ac:dyDescent="0.2">
      <c r="B75" s="8" t="s">
        <v>13</v>
      </c>
      <c r="C75" s="6">
        <v>1519</v>
      </c>
      <c r="D75" s="6">
        <v>1671</v>
      </c>
      <c r="E75" s="7">
        <f t="shared" si="10"/>
        <v>3190</v>
      </c>
      <c r="G75" s="14" t="s">
        <v>36</v>
      </c>
      <c r="H75" s="6">
        <f t="shared" si="12"/>
        <v>1395</v>
      </c>
      <c r="I75" s="6">
        <f t="shared" si="12"/>
        <v>1454</v>
      </c>
      <c r="J75" s="7">
        <f t="shared" si="11"/>
        <v>2849</v>
      </c>
      <c r="K75" s="32"/>
      <c r="M75" s="36"/>
    </row>
    <row r="76" spans="2:14" ht="12.95" customHeight="1" x14ac:dyDescent="0.2">
      <c r="B76" s="8" t="s">
        <v>14</v>
      </c>
      <c r="C76" s="6">
        <v>1395</v>
      </c>
      <c r="D76" s="6">
        <v>1454</v>
      </c>
      <c r="E76" s="7">
        <f t="shared" si="10"/>
        <v>2849</v>
      </c>
      <c r="G76" s="14" t="s">
        <v>37</v>
      </c>
      <c r="H76" s="6">
        <f t="shared" si="12"/>
        <v>1217</v>
      </c>
      <c r="I76" s="6">
        <f t="shared" si="12"/>
        <v>1241</v>
      </c>
      <c r="J76" s="7">
        <f t="shared" si="11"/>
        <v>2458</v>
      </c>
      <c r="K76" s="32"/>
      <c r="M76" s="36"/>
    </row>
    <row r="77" spans="2:14" ht="12.95" customHeight="1" x14ac:dyDescent="0.2">
      <c r="B77" s="8" t="s">
        <v>15</v>
      </c>
      <c r="C77" s="6">
        <v>1217</v>
      </c>
      <c r="D77" s="6">
        <v>1241</v>
      </c>
      <c r="E77" s="7">
        <f t="shared" si="10"/>
        <v>2458</v>
      </c>
      <c r="G77" s="14" t="s">
        <v>38</v>
      </c>
      <c r="H77" s="6">
        <f t="shared" si="12"/>
        <v>920</v>
      </c>
      <c r="I77" s="6">
        <f t="shared" si="12"/>
        <v>1030</v>
      </c>
      <c r="J77" s="7">
        <f t="shared" si="11"/>
        <v>1950</v>
      </c>
      <c r="K77" s="32"/>
      <c r="M77" s="36"/>
    </row>
    <row r="78" spans="2:14" ht="12.95" customHeight="1" x14ac:dyDescent="0.2">
      <c r="B78" s="8" t="s">
        <v>16</v>
      </c>
      <c r="C78" s="6">
        <v>920</v>
      </c>
      <c r="D78" s="6">
        <v>1030</v>
      </c>
      <c r="E78" s="7">
        <f t="shared" si="10"/>
        <v>1950</v>
      </c>
      <c r="G78" s="14" t="s">
        <v>39</v>
      </c>
      <c r="H78" s="6">
        <f t="shared" si="12"/>
        <v>773</v>
      </c>
      <c r="I78" s="6">
        <f t="shared" si="12"/>
        <v>834</v>
      </c>
      <c r="J78" s="7">
        <f t="shared" si="11"/>
        <v>1607</v>
      </c>
      <c r="K78" s="32"/>
      <c r="M78" s="36"/>
    </row>
    <row r="79" spans="2:14" ht="12.95" customHeight="1" x14ac:dyDescent="0.2">
      <c r="B79" s="8" t="s">
        <v>17</v>
      </c>
      <c r="C79" s="6">
        <v>773</v>
      </c>
      <c r="D79" s="6">
        <v>834</v>
      </c>
      <c r="E79" s="7">
        <f t="shared" si="10"/>
        <v>1607</v>
      </c>
      <c r="G79" s="14" t="s">
        <v>40</v>
      </c>
      <c r="H79" s="6">
        <f t="shared" si="12"/>
        <v>563</v>
      </c>
      <c r="I79" s="6">
        <f t="shared" si="12"/>
        <v>610</v>
      </c>
      <c r="J79" s="7">
        <f t="shared" si="11"/>
        <v>1173</v>
      </c>
      <c r="K79" s="32"/>
      <c r="M79" s="36"/>
    </row>
    <row r="80" spans="2:14" ht="12.95" customHeight="1" x14ac:dyDescent="0.2">
      <c r="B80" s="8" t="s">
        <v>18</v>
      </c>
      <c r="C80" s="6">
        <v>563</v>
      </c>
      <c r="D80" s="6">
        <v>610</v>
      </c>
      <c r="E80" s="7">
        <f t="shared" si="10"/>
        <v>1173</v>
      </c>
      <c r="G80" s="14" t="s">
        <v>41</v>
      </c>
      <c r="H80" s="6">
        <f t="shared" si="12"/>
        <v>408</v>
      </c>
      <c r="I80" s="6">
        <f t="shared" si="12"/>
        <v>460</v>
      </c>
      <c r="J80" s="7">
        <f t="shared" si="11"/>
        <v>868</v>
      </c>
      <c r="K80" s="32"/>
      <c r="M80" s="36"/>
    </row>
    <row r="81" spans="2:19" ht="12.95" customHeight="1" x14ac:dyDescent="0.2">
      <c r="B81" s="8" t="s">
        <v>19</v>
      </c>
      <c r="C81" s="6">
        <v>408</v>
      </c>
      <c r="D81" s="6">
        <v>460</v>
      </c>
      <c r="E81" s="7">
        <f t="shared" si="10"/>
        <v>868</v>
      </c>
      <c r="G81" s="14" t="s">
        <v>42</v>
      </c>
      <c r="H81" s="6">
        <f t="shared" si="12"/>
        <v>287</v>
      </c>
      <c r="I81" s="6">
        <f t="shared" si="12"/>
        <v>312</v>
      </c>
      <c r="J81" s="7">
        <f t="shared" si="11"/>
        <v>599</v>
      </c>
      <c r="K81" s="32"/>
      <c r="M81" s="36"/>
    </row>
    <row r="82" spans="2:19" ht="12.95" customHeight="1" x14ac:dyDescent="0.2">
      <c r="B82" s="8" t="s">
        <v>20</v>
      </c>
      <c r="C82" s="6">
        <v>287</v>
      </c>
      <c r="D82" s="6">
        <v>312</v>
      </c>
      <c r="E82" s="7">
        <f t="shared" si="10"/>
        <v>599</v>
      </c>
      <c r="G82" s="14" t="s">
        <v>43</v>
      </c>
      <c r="H82" s="6">
        <f t="shared" si="12"/>
        <v>178</v>
      </c>
      <c r="I82" s="6">
        <f t="shared" si="12"/>
        <v>214</v>
      </c>
      <c r="J82" s="7">
        <f t="shared" si="11"/>
        <v>392</v>
      </c>
      <c r="K82" s="32"/>
      <c r="M82" s="36"/>
    </row>
    <row r="83" spans="2:19" ht="12.95" customHeight="1" thickBot="1" x14ac:dyDescent="0.25">
      <c r="B83" s="8" t="s">
        <v>21</v>
      </c>
      <c r="C83" s="6">
        <v>178</v>
      </c>
      <c r="D83" s="6">
        <v>214</v>
      </c>
      <c r="E83" s="7">
        <f t="shared" si="10"/>
        <v>392</v>
      </c>
      <c r="G83" s="15" t="s">
        <v>22</v>
      </c>
      <c r="H83" s="6">
        <f t="shared" si="12"/>
        <v>163</v>
      </c>
      <c r="I83" s="6">
        <f t="shared" si="12"/>
        <v>250</v>
      </c>
      <c r="J83" s="9">
        <f t="shared" si="11"/>
        <v>413</v>
      </c>
      <c r="K83" s="32"/>
      <c r="M83" s="36"/>
    </row>
    <row r="84" spans="2:19" ht="13.35" customHeight="1" thickBot="1" x14ac:dyDescent="0.25">
      <c r="B84" s="17" t="s">
        <v>22</v>
      </c>
      <c r="C84" s="16">
        <v>163</v>
      </c>
      <c r="D84" s="16">
        <v>250</v>
      </c>
      <c r="E84" s="9">
        <f t="shared" si="10"/>
        <v>413</v>
      </c>
      <c r="G84" s="27" t="s">
        <v>50</v>
      </c>
      <c r="H84" t="s">
        <v>57</v>
      </c>
      <c r="I84"/>
      <c r="J84"/>
      <c r="K84"/>
      <c r="M84" s="36"/>
    </row>
    <row r="85" spans="2:19" ht="13.35" customHeight="1" x14ac:dyDescent="0.2">
      <c r="B85" s="27" t="s">
        <v>50</v>
      </c>
      <c r="C85" t="s">
        <v>57</v>
      </c>
      <c r="D85"/>
      <c r="E85"/>
      <c r="G85" s="18" t="s">
        <v>44</v>
      </c>
      <c r="H85"/>
      <c r="I85"/>
      <c r="J85"/>
      <c r="K85"/>
      <c r="M85" s="36"/>
    </row>
    <row r="86" spans="2:19" ht="12.95" customHeight="1" x14ac:dyDescent="0.2">
      <c r="B86" s="18" t="s">
        <v>44</v>
      </c>
      <c r="C86"/>
      <c r="D86"/>
      <c r="E86"/>
      <c r="M86" s="36"/>
    </row>
    <row r="87" spans="2:19" ht="12.95" customHeight="1" x14ac:dyDescent="0.2">
      <c r="M87" s="36"/>
      <c r="N87" s="36"/>
    </row>
    <row r="88" spans="2:19" ht="12.95" customHeight="1" thickBot="1" x14ac:dyDescent="0.25"/>
    <row r="89" spans="2:19" ht="12.95" customHeight="1" thickBot="1" x14ac:dyDescent="0.25">
      <c r="B89" s="48" t="s">
        <v>23</v>
      </c>
      <c r="C89" s="48"/>
      <c r="D89" s="48"/>
      <c r="E89" s="48"/>
      <c r="G89" s="36" t="s">
        <v>60</v>
      </c>
      <c r="H89" s="38">
        <f>$E$37/$E$8*1000</f>
        <v>8.5899853341713808</v>
      </c>
      <c r="I89" s="38"/>
      <c r="J89" s="38"/>
      <c r="K89" s="38"/>
      <c r="M89" s="48" t="s">
        <v>24</v>
      </c>
      <c r="N89" s="48"/>
      <c r="O89" s="48"/>
      <c r="P89" s="48"/>
      <c r="R89" s="36" t="s">
        <v>78</v>
      </c>
      <c r="S89" s="38">
        <f>$P$37/$E$8*1000</f>
        <v>15.751480867759939</v>
      </c>
    </row>
    <row r="90" spans="2:19" ht="12.95" customHeight="1" x14ac:dyDescent="0.2">
      <c r="B90" s="48"/>
      <c r="C90" s="48"/>
      <c r="D90" s="48"/>
      <c r="E90" s="48"/>
      <c r="G90" s="36" t="s">
        <v>61</v>
      </c>
      <c r="H90" s="38">
        <f>$E$38/$P$37*1000</f>
        <v>9.6735187424425622</v>
      </c>
      <c r="I90" s="38"/>
      <c r="J90" s="38"/>
      <c r="K90" s="38"/>
      <c r="M90" s="48"/>
      <c r="N90" s="48"/>
      <c r="O90" s="48"/>
      <c r="P90" s="48"/>
      <c r="R90" s="36" t="s">
        <v>80</v>
      </c>
      <c r="S90" s="38">
        <f>$P$37/SUM($D$13:$D$19)*1000</f>
        <v>58.903133903133906</v>
      </c>
    </row>
    <row r="91" spans="2:19" ht="12.95" customHeight="1" x14ac:dyDescent="0.2">
      <c r="B91" s="60" t="s">
        <v>49</v>
      </c>
      <c r="C91" s="60"/>
      <c r="D91" s="60"/>
      <c r="E91" s="60"/>
      <c r="G91" s="37" t="s">
        <v>62</v>
      </c>
      <c r="H91" s="38">
        <f>$C$37/$C$8*1000</f>
        <v>9.4271211022480053</v>
      </c>
      <c r="I91" s="38"/>
      <c r="J91" s="38"/>
      <c r="K91" s="38"/>
      <c r="M91" s="60" t="s">
        <v>49</v>
      </c>
      <c r="N91" s="60"/>
      <c r="O91" s="60"/>
      <c r="P91" s="60"/>
      <c r="R91" s="36" t="s">
        <v>82</v>
      </c>
      <c r="S91" s="64">
        <f>SUM(S97:S102)*5/1000</f>
        <v>2.0513007723736463</v>
      </c>
    </row>
    <row r="92" spans="2:19" ht="12.95" customHeight="1" thickBot="1" x14ac:dyDescent="0.25">
      <c r="B92" s="61"/>
      <c r="C92" s="61"/>
      <c r="D92" s="61"/>
      <c r="E92" s="61"/>
      <c r="G92" s="37" t="s">
        <v>63</v>
      </c>
      <c r="H92" s="38">
        <f>$D$37/$D$8*1000</f>
        <v>7.7560641776290771</v>
      </c>
      <c r="I92" s="38"/>
      <c r="J92" s="38"/>
      <c r="K92" s="38"/>
      <c r="M92" s="60"/>
      <c r="N92" s="60"/>
      <c r="O92" s="60"/>
      <c r="P92" s="60"/>
    </row>
    <row r="93" spans="2:19" ht="12.95" customHeight="1" thickBot="1" x14ac:dyDescent="0.25">
      <c r="B93" s="53" t="s">
        <v>1</v>
      </c>
      <c r="C93" s="54" t="s">
        <v>2</v>
      </c>
      <c r="D93" s="54" t="s">
        <v>3</v>
      </c>
      <c r="E93" s="57" t="s">
        <v>4</v>
      </c>
      <c r="G93" s="37" t="s">
        <v>64</v>
      </c>
      <c r="H93" s="38">
        <f>$H$33/$H$34</f>
        <v>1.215451662898662</v>
      </c>
      <c r="I93" s="38"/>
      <c r="J93" s="38"/>
      <c r="K93" s="38"/>
      <c r="M93" s="53" t="s">
        <v>1</v>
      </c>
      <c r="N93" s="54" t="s">
        <v>2</v>
      </c>
      <c r="O93" s="54" t="s">
        <v>3</v>
      </c>
      <c r="P93" s="57" t="s">
        <v>4</v>
      </c>
    </row>
    <row r="94" spans="2:19" ht="12.95" customHeight="1" thickBot="1" x14ac:dyDescent="0.25">
      <c r="B94" s="53"/>
      <c r="C94" s="54"/>
      <c r="D94" s="54"/>
      <c r="E94" s="57"/>
      <c r="G94" s="39"/>
      <c r="H94" s="40"/>
      <c r="I94" s="40"/>
      <c r="J94" s="40"/>
      <c r="K94" s="40"/>
      <c r="M94" s="53"/>
      <c r="N94" s="54"/>
      <c r="O94" s="54"/>
      <c r="P94" s="57"/>
      <c r="S94" s="38" t="s">
        <v>84</v>
      </c>
    </row>
    <row r="95" spans="2:19" ht="12.95" customHeight="1" thickBot="1" x14ac:dyDescent="0.25">
      <c r="B95" s="1" t="s">
        <v>4</v>
      </c>
      <c r="C95" s="2">
        <f>SUM(C96:C113)</f>
        <v>143</v>
      </c>
      <c r="D95" s="19">
        <f>SUM(D96:D113)</f>
        <v>119</v>
      </c>
      <c r="E95" s="11">
        <f>SUM(E96:E113)</f>
        <v>262</v>
      </c>
      <c r="G95" s="41" t="s">
        <v>65</v>
      </c>
      <c r="H95" s="42" t="s">
        <v>66</v>
      </c>
      <c r="I95" s="42" t="s">
        <v>67</v>
      </c>
      <c r="J95" s="42" t="s">
        <v>68</v>
      </c>
      <c r="K95" s="35" t="s">
        <v>86</v>
      </c>
      <c r="M95" s="1" t="s">
        <v>4</v>
      </c>
      <c r="N95" s="3">
        <f>SUM(N96:N104)</f>
        <v>376</v>
      </c>
      <c r="O95" s="19">
        <f>SUM(O96:O104)</f>
        <v>428</v>
      </c>
      <c r="P95" s="11">
        <f>SUM(P96:P104)</f>
        <v>804</v>
      </c>
      <c r="R95" s="36" t="s">
        <v>65</v>
      </c>
    </row>
    <row r="96" spans="2:19" ht="12.95" customHeight="1" x14ac:dyDescent="0.2">
      <c r="B96" s="5" t="s">
        <v>5</v>
      </c>
      <c r="C96" s="6">
        <v>6</v>
      </c>
      <c r="D96" s="6">
        <v>3</v>
      </c>
      <c r="E96" s="7">
        <f t="shared" ref="E96:E113" si="13">SUM(C96:D96)</f>
        <v>9</v>
      </c>
      <c r="G96" s="41" t="s">
        <v>5</v>
      </c>
      <c r="H96" s="42">
        <f t="shared" ref="H96:H113" si="14">C96/C67*1000</f>
        <v>14.150943396226415</v>
      </c>
      <c r="I96" s="42">
        <f t="shared" ref="I96:I113" si="15">D96/D67*1000</f>
        <v>7.042253521126761</v>
      </c>
      <c r="J96" s="42">
        <f t="shared" ref="J96:J113" si="16">IFERROR(H96/I96,0)</f>
        <v>2.0094339622641506</v>
      </c>
      <c r="K96" s="42">
        <f>E96/E67*1000</f>
        <v>10.588235294117647</v>
      </c>
      <c r="M96" s="5" t="s">
        <v>25</v>
      </c>
      <c r="N96" s="6">
        <v>5</v>
      </c>
      <c r="O96" s="6">
        <v>7</v>
      </c>
      <c r="P96" s="7">
        <f t="shared" ref="P96:P104" si="17">SUM(N96:O96)</f>
        <v>12</v>
      </c>
    </row>
    <row r="97" spans="2:19" ht="12.95" customHeight="1" x14ac:dyDescent="0.2">
      <c r="B97" s="8" t="s">
        <v>6</v>
      </c>
      <c r="C97" s="6">
        <v>1</v>
      </c>
      <c r="D97" s="6">
        <v>1</v>
      </c>
      <c r="E97" s="7">
        <f t="shared" si="13"/>
        <v>2</v>
      </c>
      <c r="G97" s="41" t="s">
        <v>6</v>
      </c>
      <c r="H97" s="42">
        <f t="shared" si="14"/>
        <v>0.57175528873642079</v>
      </c>
      <c r="I97" s="42">
        <f t="shared" si="15"/>
        <v>0.59737156511350054</v>
      </c>
      <c r="J97" s="42">
        <f t="shared" si="16"/>
        <v>0.95711835334476847</v>
      </c>
      <c r="K97" s="42">
        <f t="shared" ref="K97:K113" si="18">E97/E68*1000</f>
        <v>0.58428279287174989</v>
      </c>
      <c r="M97" s="8" t="s">
        <v>26</v>
      </c>
      <c r="N97" s="6">
        <v>102</v>
      </c>
      <c r="O97" s="6">
        <v>122</v>
      </c>
      <c r="P97" s="7">
        <f t="shared" si="17"/>
        <v>224</v>
      </c>
      <c r="R97" s="36" t="s">
        <v>26</v>
      </c>
      <c r="S97" s="38">
        <f t="shared" ref="S97:S103" si="19">P97/D71*1000</f>
        <v>101.63339382940109</v>
      </c>
    </row>
    <row r="98" spans="2:19" ht="12.95" customHeight="1" x14ac:dyDescent="0.2">
      <c r="B98" s="8" t="s">
        <v>7</v>
      </c>
      <c r="C98" s="6">
        <v>0</v>
      </c>
      <c r="D98" s="6">
        <v>0</v>
      </c>
      <c r="E98" s="7">
        <f t="shared" si="13"/>
        <v>0</v>
      </c>
      <c r="G98" s="41" t="s">
        <v>7</v>
      </c>
      <c r="H98" s="42">
        <f t="shared" si="14"/>
        <v>0</v>
      </c>
      <c r="I98" s="42">
        <f t="shared" si="15"/>
        <v>0</v>
      </c>
      <c r="J98" s="42">
        <f>IFERROR(H98/I98,0)</f>
        <v>0</v>
      </c>
      <c r="K98" s="42">
        <f t="shared" si="18"/>
        <v>0</v>
      </c>
      <c r="M98" s="8" t="s">
        <v>10</v>
      </c>
      <c r="N98" s="6">
        <v>115</v>
      </c>
      <c r="O98" s="6">
        <v>117</v>
      </c>
      <c r="P98" s="7">
        <f t="shared" si="17"/>
        <v>232</v>
      </c>
      <c r="R98" s="36" t="s">
        <v>10</v>
      </c>
      <c r="S98" s="38">
        <f t="shared" si="19"/>
        <v>120.14500258933195</v>
      </c>
    </row>
    <row r="99" spans="2:19" ht="12.95" customHeight="1" x14ac:dyDescent="0.2">
      <c r="B99" s="8" t="s">
        <v>8</v>
      </c>
      <c r="C99" s="6">
        <v>1</v>
      </c>
      <c r="D99" s="6">
        <v>1</v>
      </c>
      <c r="E99" s="7">
        <f t="shared" si="13"/>
        <v>2</v>
      </c>
      <c r="G99" s="41" t="s">
        <v>8</v>
      </c>
      <c r="H99" s="42">
        <f t="shared" si="14"/>
        <v>0.41339396444811904</v>
      </c>
      <c r="I99" s="42">
        <f t="shared" si="15"/>
        <v>0.41946308724832215</v>
      </c>
      <c r="J99" s="42">
        <f t="shared" si="16"/>
        <v>0.98553121124431575</v>
      </c>
      <c r="K99" s="42">
        <f t="shared" si="18"/>
        <v>0.41640641265875494</v>
      </c>
      <c r="M99" s="8" t="s">
        <v>11</v>
      </c>
      <c r="N99" s="6">
        <v>81</v>
      </c>
      <c r="O99" s="6">
        <v>78</v>
      </c>
      <c r="P99" s="7">
        <f t="shared" si="17"/>
        <v>159</v>
      </c>
      <c r="R99" s="36" t="s">
        <v>11</v>
      </c>
      <c r="S99" s="38">
        <f t="shared" si="19"/>
        <v>85.621970920840056</v>
      </c>
    </row>
    <row r="100" spans="2:19" ht="12.95" customHeight="1" x14ac:dyDescent="0.2">
      <c r="B100" s="8" t="s">
        <v>9</v>
      </c>
      <c r="C100" s="6">
        <v>2</v>
      </c>
      <c r="D100" s="6">
        <v>1</v>
      </c>
      <c r="E100" s="7">
        <f t="shared" si="13"/>
        <v>3</v>
      </c>
      <c r="G100" s="41" t="s">
        <v>9</v>
      </c>
      <c r="H100" s="42">
        <f t="shared" si="14"/>
        <v>0.89086859688195996</v>
      </c>
      <c r="I100" s="42">
        <f t="shared" si="15"/>
        <v>0.45372050816696913</v>
      </c>
      <c r="J100" s="42">
        <f t="shared" si="16"/>
        <v>1.9634743875278398</v>
      </c>
      <c r="K100" s="42">
        <f t="shared" si="18"/>
        <v>0.67430883344571813</v>
      </c>
      <c r="M100" s="8" t="s">
        <v>12</v>
      </c>
      <c r="N100" s="6">
        <v>41</v>
      </c>
      <c r="O100" s="6">
        <v>65</v>
      </c>
      <c r="P100" s="7">
        <f t="shared" si="17"/>
        <v>106</v>
      </c>
      <c r="R100" s="36" t="s">
        <v>12</v>
      </c>
      <c r="S100" s="38">
        <f t="shared" si="19"/>
        <v>59.718309859154935</v>
      </c>
    </row>
    <row r="101" spans="2:19" ht="12.95" customHeight="1" x14ac:dyDescent="0.2">
      <c r="B101" s="8" t="s">
        <v>10</v>
      </c>
      <c r="C101" s="6">
        <v>8</v>
      </c>
      <c r="D101" s="6">
        <v>1</v>
      </c>
      <c r="E101" s="7">
        <f t="shared" si="13"/>
        <v>9</v>
      </c>
      <c r="G101" s="41" t="s">
        <v>10</v>
      </c>
      <c r="H101" s="42">
        <f t="shared" si="14"/>
        <v>4.0774719673802249</v>
      </c>
      <c r="I101" s="42">
        <f t="shared" si="15"/>
        <v>0.51786639047125838</v>
      </c>
      <c r="J101" s="42">
        <f t="shared" si="16"/>
        <v>7.8735983690112148</v>
      </c>
      <c r="K101" s="42">
        <f t="shared" si="18"/>
        <v>2.3118417672745952</v>
      </c>
      <c r="M101" s="8" t="s">
        <v>13</v>
      </c>
      <c r="N101" s="6">
        <v>27</v>
      </c>
      <c r="O101" s="6">
        <v>29</v>
      </c>
      <c r="P101" s="7">
        <f t="shared" si="17"/>
        <v>56</v>
      </c>
      <c r="R101" s="36" t="s">
        <v>13</v>
      </c>
      <c r="S101" s="38">
        <f t="shared" si="19"/>
        <v>33.512866546977854</v>
      </c>
    </row>
    <row r="102" spans="2:19" ht="12.95" customHeight="1" x14ac:dyDescent="0.2">
      <c r="B102" s="8" t="s">
        <v>11</v>
      </c>
      <c r="C102" s="6">
        <v>4</v>
      </c>
      <c r="D102" s="6">
        <v>2</v>
      </c>
      <c r="E102" s="7">
        <f t="shared" si="13"/>
        <v>6</v>
      </c>
      <c r="G102" s="41" t="s">
        <v>11</v>
      </c>
      <c r="H102" s="42">
        <f t="shared" si="14"/>
        <v>2.1869874248223073</v>
      </c>
      <c r="I102" s="42">
        <f t="shared" si="15"/>
        <v>1.0770059235325795</v>
      </c>
      <c r="J102" s="42">
        <f t="shared" si="16"/>
        <v>2.0306178239475123</v>
      </c>
      <c r="K102" s="42">
        <f t="shared" si="18"/>
        <v>1.6277807921866521</v>
      </c>
      <c r="M102" s="8" t="s">
        <v>14</v>
      </c>
      <c r="N102" s="6">
        <v>4</v>
      </c>
      <c r="O102" s="6">
        <v>10</v>
      </c>
      <c r="P102" s="7">
        <f t="shared" si="17"/>
        <v>14</v>
      </c>
      <c r="R102" s="36" t="s">
        <v>14</v>
      </c>
      <c r="S102" s="38">
        <f t="shared" si="19"/>
        <v>9.628610729023384</v>
      </c>
    </row>
    <row r="103" spans="2:19" ht="12.95" customHeight="1" x14ac:dyDescent="0.2">
      <c r="B103" s="8" t="s">
        <v>12</v>
      </c>
      <c r="C103" s="6">
        <v>6</v>
      </c>
      <c r="D103" s="6">
        <v>3</v>
      </c>
      <c r="E103" s="7">
        <f t="shared" si="13"/>
        <v>9</v>
      </c>
      <c r="G103" s="41" t="s">
        <v>12</v>
      </c>
      <c r="H103" s="42">
        <f t="shared" si="14"/>
        <v>3.5314891112419069</v>
      </c>
      <c r="I103" s="42">
        <f t="shared" si="15"/>
        <v>1.6901408450704227</v>
      </c>
      <c r="J103" s="42">
        <f t="shared" si="16"/>
        <v>2.0894643908181281</v>
      </c>
      <c r="K103" s="42">
        <f t="shared" si="18"/>
        <v>2.5906735751295336</v>
      </c>
      <c r="M103" s="8" t="s">
        <v>15</v>
      </c>
      <c r="N103" s="6">
        <v>1</v>
      </c>
      <c r="O103" s="6"/>
      <c r="P103" s="7">
        <f t="shared" si="17"/>
        <v>1</v>
      </c>
      <c r="R103" s="36" t="s">
        <v>15</v>
      </c>
      <c r="S103" s="38">
        <f t="shared" si="19"/>
        <v>0.80580177276390008</v>
      </c>
    </row>
    <row r="104" spans="2:19" ht="12.95" customHeight="1" thickBot="1" x14ac:dyDescent="0.25">
      <c r="B104" s="8" t="s">
        <v>13</v>
      </c>
      <c r="C104" s="6">
        <v>4</v>
      </c>
      <c r="D104" s="6">
        <v>1</v>
      </c>
      <c r="E104" s="7">
        <f t="shared" si="13"/>
        <v>5</v>
      </c>
      <c r="G104" s="41" t="s">
        <v>13</v>
      </c>
      <c r="H104" s="42">
        <f t="shared" si="14"/>
        <v>2.6333113890717574</v>
      </c>
      <c r="I104" s="42">
        <f t="shared" si="15"/>
        <v>0.59844404548174746</v>
      </c>
      <c r="J104" s="42">
        <f t="shared" si="16"/>
        <v>4.4002633311389063</v>
      </c>
      <c r="K104" s="42">
        <f t="shared" si="18"/>
        <v>1.567398119122257</v>
      </c>
      <c r="M104" s="10" t="s">
        <v>27</v>
      </c>
      <c r="N104" s="16"/>
      <c r="O104" s="16"/>
      <c r="P104" s="9">
        <f t="shared" si="17"/>
        <v>0</v>
      </c>
    </row>
    <row r="105" spans="2:19" ht="12.95" customHeight="1" x14ac:dyDescent="0.2">
      <c r="B105" s="8" t="s">
        <v>14</v>
      </c>
      <c r="C105" s="6">
        <v>7</v>
      </c>
      <c r="D105" s="6">
        <v>3</v>
      </c>
      <c r="E105" s="7">
        <f t="shared" si="13"/>
        <v>10</v>
      </c>
      <c r="G105" s="41" t="s">
        <v>14</v>
      </c>
      <c r="H105" s="42">
        <f t="shared" si="14"/>
        <v>5.0179211469534053</v>
      </c>
      <c r="I105" s="42">
        <f t="shared" si="15"/>
        <v>2.0632737276478679</v>
      </c>
      <c r="J105" s="42">
        <f t="shared" si="16"/>
        <v>2.4320191158900837</v>
      </c>
      <c r="K105" s="42">
        <f t="shared" si="18"/>
        <v>3.5100035100035103</v>
      </c>
      <c r="M105" s="27" t="s">
        <v>50</v>
      </c>
      <c r="N105" t="s">
        <v>56</v>
      </c>
      <c r="O105"/>
      <c r="P105"/>
    </row>
    <row r="106" spans="2:19" ht="12.95" customHeight="1" x14ac:dyDescent="0.2">
      <c r="B106" s="8" t="s">
        <v>15</v>
      </c>
      <c r="C106" s="6">
        <v>9</v>
      </c>
      <c r="D106" s="6">
        <v>9</v>
      </c>
      <c r="E106" s="7">
        <f t="shared" si="13"/>
        <v>18</v>
      </c>
      <c r="G106" s="41" t="s">
        <v>15</v>
      </c>
      <c r="H106" s="42">
        <f t="shared" si="14"/>
        <v>7.395234182415777</v>
      </c>
      <c r="I106" s="42">
        <f t="shared" si="15"/>
        <v>7.2522159548751013</v>
      </c>
      <c r="J106" s="42">
        <f t="shared" si="16"/>
        <v>1.0197206244864421</v>
      </c>
      <c r="K106" s="42">
        <f t="shared" si="18"/>
        <v>7.3230268510984535</v>
      </c>
      <c r="M106" s="18" t="s">
        <v>44</v>
      </c>
      <c r="N106" s="28" t="s">
        <v>59</v>
      </c>
      <c r="O106"/>
      <c r="P106"/>
    </row>
    <row r="107" spans="2:19" ht="12.95" customHeight="1" x14ac:dyDescent="0.2">
      <c r="B107" s="8" t="s">
        <v>16</v>
      </c>
      <c r="C107" s="6">
        <v>13</v>
      </c>
      <c r="D107" s="6">
        <v>7</v>
      </c>
      <c r="E107" s="7">
        <f t="shared" si="13"/>
        <v>20</v>
      </c>
      <c r="G107" s="41" t="s">
        <v>16</v>
      </c>
      <c r="H107" s="42">
        <f t="shared" si="14"/>
        <v>14.130434782608695</v>
      </c>
      <c r="I107" s="42">
        <f t="shared" si="15"/>
        <v>6.7961165048543686</v>
      </c>
      <c r="J107" s="42">
        <f t="shared" si="16"/>
        <v>2.079192546583851</v>
      </c>
      <c r="K107" s="42">
        <f t="shared" si="18"/>
        <v>10.256410256410257</v>
      </c>
    </row>
    <row r="108" spans="2:19" ht="12.95" customHeight="1" x14ac:dyDescent="0.2">
      <c r="B108" s="8" t="s">
        <v>17</v>
      </c>
      <c r="C108" s="6">
        <v>7</v>
      </c>
      <c r="D108" s="6">
        <v>10</v>
      </c>
      <c r="E108" s="7">
        <f t="shared" si="13"/>
        <v>17</v>
      </c>
      <c r="G108" s="41" t="s">
        <v>17</v>
      </c>
      <c r="H108" s="42">
        <f t="shared" si="14"/>
        <v>9.0556274256144889</v>
      </c>
      <c r="I108" s="42">
        <f t="shared" si="15"/>
        <v>11.990407673860911</v>
      </c>
      <c r="J108" s="42">
        <f t="shared" si="16"/>
        <v>0.75523932729624832</v>
      </c>
      <c r="K108" s="42">
        <f t="shared" si="18"/>
        <v>10.578718108276291</v>
      </c>
    </row>
    <row r="109" spans="2:19" ht="12.95" customHeight="1" x14ac:dyDescent="0.2">
      <c r="B109" s="8" t="s">
        <v>18</v>
      </c>
      <c r="C109" s="6">
        <v>12</v>
      </c>
      <c r="D109" s="6">
        <v>9</v>
      </c>
      <c r="E109" s="7">
        <f t="shared" si="13"/>
        <v>21</v>
      </c>
      <c r="G109" s="41" t="s">
        <v>18</v>
      </c>
      <c r="H109" s="42">
        <f t="shared" si="14"/>
        <v>21.314387211367674</v>
      </c>
      <c r="I109" s="42">
        <f t="shared" si="15"/>
        <v>14.754098360655739</v>
      </c>
      <c r="J109" s="42">
        <f t="shared" si="16"/>
        <v>1.4446417998815866</v>
      </c>
      <c r="K109" s="42">
        <f t="shared" si="18"/>
        <v>17.902813299232736</v>
      </c>
    </row>
    <row r="110" spans="2:19" ht="12.95" customHeight="1" x14ac:dyDescent="0.2">
      <c r="B110" s="8" t="s">
        <v>19</v>
      </c>
      <c r="C110" s="6">
        <v>16</v>
      </c>
      <c r="D110" s="6">
        <v>10</v>
      </c>
      <c r="E110" s="7">
        <f t="shared" si="13"/>
        <v>26</v>
      </c>
      <c r="G110" s="41" t="s">
        <v>19</v>
      </c>
      <c r="H110" s="42">
        <f t="shared" si="14"/>
        <v>39.215686274509807</v>
      </c>
      <c r="I110" s="42">
        <f t="shared" si="15"/>
        <v>21.739130434782609</v>
      </c>
      <c r="J110" s="42">
        <f t="shared" si="16"/>
        <v>1.803921568627451</v>
      </c>
      <c r="K110" s="42">
        <f t="shared" si="18"/>
        <v>29.953917050691242</v>
      </c>
    </row>
    <row r="111" spans="2:19" ht="12.95" customHeight="1" x14ac:dyDescent="0.2">
      <c r="B111" s="8" t="s">
        <v>20</v>
      </c>
      <c r="C111" s="6">
        <v>18</v>
      </c>
      <c r="D111" s="6">
        <v>10</v>
      </c>
      <c r="E111" s="7">
        <f t="shared" si="13"/>
        <v>28</v>
      </c>
      <c r="G111" s="41" t="s">
        <v>20</v>
      </c>
      <c r="H111" s="42">
        <f t="shared" si="14"/>
        <v>62.717770034843205</v>
      </c>
      <c r="I111" s="42">
        <f t="shared" si="15"/>
        <v>32.051282051282051</v>
      </c>
      <c r="J111" s="42">
        <f t="shared" si="16"/>
        <v>1.9567944250871081</v>
      </c>
      <c r="K111" s="42">
        <f t="shared" si="18"/>
        <v>46.744574290484138</v>
      </c>
    </row>
    <row r="112" spans="2:19" ht="12.95" customHeight="1" x14ac:dyDescent="0.2">
      <c r="B112" s="8" t="s">
        <v>21</v>
      </c>
      <c r="C112" s="6">
        <v>12</v>
      </c>
      <c r="D112" s="6">
        <v>14</v>
      </c>
      <c r="E112" s="7">
        <f t="shared" si="13"/>
        <v>26</v>
      </c>
      <c r="G112" s="41" t="s">
        <v>21</v>
      </c>
      <c r="H112" s="42">
        <f t="shared" si="14"/>
        <v>67.415730337078656</v>
      </c>
      <c r="I112" s="42">
        <f t="shared" si="15"/>
        <v>65.420560747663544</v>
      </c>
      <c r="J112" s="42">
        <f t="shared" si="16"/>
        <v>1.0304975922953452</v>
      </c>
      <c r="K112" s="42">
        <f t="shared" si="18"/>
        <v>66.326530612244909</v>
      </c>
    </row>
    <row r="113" spans="2:11" ht="12.95" customHeight="1" thickBot="1" x14ac:dyDescent="0.25">
      <c r="B113" s="17" t="s">
        <v>22</v>
      </c>
      <c r="C113" s="16">
        <v>17</v>
      </c>
      <c r="D113" s="16">
        <v>34</v>
      </c>
      <c r="E113" s="9">
        <f t="shared" si="13"/>
        <v>51</v>
      </c>
      <c r="G113" s="41" t="s">
        <v>22</v>
      </c>
      <c r="H113" s="42">
        <f t="shared" si="14"/>
        <v>104.29447852760735</v>
      </c>
      <c r="I113" s="42">
        <f t="shared" si="15"/>
        <v>136</v>
      </c>
      <c r="J113" s="42">
        <f t="shared" si="16"/>
        <v>0.76687116564417168</v>
      </c>
      <c r="K113" s="42">
        <f t="shared" si="18"/>
        <v>123.48668280871671</v>
      </c>
    </row>
    <row r="114" spans="2:11" ht="12.95" customHeight="1" x14ac:dyDescent="0.2">
      <c r="B114" s="27" t="s">
        <v>50</v>
      </c>
      <c r="C114" t="s">
        <v>55</v>
      </c>
      <c r="D114"/>
      <c r="E114"/>
    </row>
    <row r="115" spans="2:11" ht="12.95" customHeight="1" x14ac:dyDescent="0.2">
      <c r="B115" s="18" t="s">
        <v>44</v>
      </c>
      <c r="C115" s="28" t="s">
        <v>58</v>
      </c>
      <c r="D115"/>
      <c r="E115"/>
    </row>
  </sheetData>
  <mergeCells count="48">
    <mergeCell ref="B2:E3"/>
    <mergeCell ref="G2:J3"/>
    <mergeCell ref="B4:E5"/>
    <mergeCell ref="G4:J5"/>
    <mergeCell ref="B6:B7"/>
    <mergeCell ref="C6:C7"/>
    <mergeCell ref="D6:D7"/>
    <mergeCell ref="E6:E7"/>
    <mergeCell ref="G6:G7"/>
    <mergeCell ref="H6:H7"/>
    <mergeCell ref="I6:I7"/>
    <mergeCell ref="J6:J7"/>
    <mergeCell ref="B31:E32"/>
    <mergeCell ref="M31:P32"/>
    <mergeCell ref="B33:E34"/>
    <mergeCell ref="M33:P34"/>
    <mergeCell ref="O35:O36"/>
    <mergeCell ref="P35:P36"/>
    <mergeCell ref="B60:E61"/>
    <mergeCell ref="G60:J61"/>
    <mergeCell ref="B62:E63"/>
    <mergeCell ref="G62:J63"/>
    <mergeCell ref="B35:B36"/>
    <mergeCell ref="C35:C36"/>
    <mergeCell ref="D35:D36"/>
    <mergeCell ref="E35:E36"/>
    <mergeCell ref="M35:M36"/>
    <mergeCell ref="N35:N36"/>
    <mergeCell ref="I64:I65"/>
    <mergeCell ref="J64:J65"/>
    <mergeCell ref="B89:E90"/>
    <mergeCell ref="M89:P90"/>
    <mergeCell ref="B91:E92"/>
    <mergeCell ref="M91:P92"/>
    <mergeCell ref="B64:B65"/>
    <mergeCell ref="C64:C65"/>
    <mergeCell ref="D64:D65"/>
    <mergeCell ref="E64:E65"/>
    <mergeCell ref="G64:G65"/>
    <mergeCell ref="H64:H65"/>
    <mergeCell ref="O93:O94"/>
    <mergeCell ref="P93:P94"/>
    <mergeCell ref="B93:B94"/>
    <mergeCell ref="C93:C94"/>
    <mergeCell ref="D93:D94"/>
    <mergeCell ref="E93:E94"/>
    <mergeCell ref="M93:M94"/>
    <mergeCell ref="N93:N94"/>
  </mergeCells>
  <hyperlinks>
    <hyperlink ref="C115" r:id="rId1" display="&quot;Sistema de Informações sobre Mortalidade - SIM. Consolidação da base de dados de 2011&quot;."/>
    <hyperlink ref="N106" r:id="rId2" display="Em 2011, houve uma mudança no conteúdo da Declaração de Nascidos Vivos, com maior detalhamento das informações coletadas. Para este ano, foram utilizados simultaneamente os dois formulários. Para mais detalhes sobre as mudanças ocorridas e os seus efeitos, veja o documento &quot;Consolidação do Sistema de Informações sobre Nascidos Vivos - 2011&quot;."/>
  </hyperlinks>
  <pageMargins left="0.511811024" right="0.511811024" top="0.78740157499999996" bottom="0.78740157499999996" header="0.31496062000000002" footer="0.3149606200000000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Nova Zelândia</vt:lpstr>
      <vt:lpstr>Palmas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Luiz Henrique Barretta Francisco</dc:creator>
  <cp:lastModifiedBy>Usuário do Windows</cp:lastModifiedBy>
  <dcterms:created xsi:type="dcterms:W3CDTF">2023-10-20T17:18:41Z</dcterms:created>
  <dcterms:modified xsi:type="dcterms:W3CDTF">2023-10-24T16:10:10Z</dcterms:modified>
</cp:coreProperties>
</file>