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ri\iCloudDrive\UFPR\CE023 - Demografia\"/>
    </mc:Choice>
  </mc:AlternateContent>
  <xr:revisionPtr revIDLastSave="0" documentId="13_ncr:1_{C0E6D29F-5C2B-4209-8C32-C77F573A24DB}" xr6:coauthVersionLast="47" xr6:coauthVersionMax="47" xr10:uidLastSave="{00000000-0000-0000-0000-000000000000}"/>
  <bookViews>
    <workbookView xWindow="22632" yWindow="4200" windowWidth="23028" windowHeight="18792" tabRatio="500" activeTab="1" xr2:uid="{00000000-000D-0000-FFFF-FFFF00000000}"/>
  </bookViews>
  <sheets>
    <sheet name="País" sheetId="2" r:id="rId1"/>
    <sheet name="Município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E9" i="2" l="1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56" i="1"/>
  <c r="E56" i="1"/>
  <c r="K55" i="1"/>
  <c r="E55" i="1"/>
  <c r="K54" i="1"/>
  <c r="E54" i="1"/>
  <c r="K53" i="1"/>
  <c r="E53" i="1"/>
  <c r="K52" i="1"/>
  <c r="E52" i="1"/>
  <c r="K51" i="1"/>
  <c r="E51" i="1"/>
  <c r="K50" i="1"/>
  <c r="E50" i="1"/>
  <c r="K49" i="1"/>
  <c r="E49" i="1"/>
  <c r="K48" i="1"/>
  <c r="E48" i="1"/>
  <c r="Q47" i="1"/>
  <c r="K47" i="1"/>
  <c r="E47" i="1"/>
  <c r="Q46" i="1"/>
  <c r="K46" i="1"/>
  <c r="E46" i="1"/>
  <c r="Q45" i="1"/>
  <c r="K45" i="1"/>
  <c r="E45" i="1"/>
  <c r="Q44" i="1"/>
  <c r="K44" i="1"/>
  <c r="E44" i="1"/>
  <c r="Q43" i="1"/>
  <c r="K43" i="1"/>
  <c r="E43" i="1"/>
  <c r="Q42" i="1"/>
  <c r="K42" i="1"/>
  <c r="E42" i="1"/>
  <c r="Q41" i="1"/>
  <c r="K41" i="1"/>
  <c r="E41" i="1"/>
  <c r="Q40" i="1"/>
  <c r="K40" i="1"/>
  <c r="E40" i="1"/>
  <c r="Q39" i="1"/>
  <c r="K39" i="1"/>
  <c r="E39" i="1"/>
  <c r="Q38" i="1"/>
  <c r="K38" i="1"/>
  <c r="E38" i="1"/>
  <c r="Q37" i="1"/>
  <c r="P37" i="1"/>
  <c r="O37" i="1"/>
  <c r="N37" i="1"/>
  <c r="K37" i="1"/>
  <c r="J37" i="1"/>
  <c r="I37" i="1"/>
  <c r="H37" i="1"/>
  <c r="E37" i="1"/>
  <c r="D37" i="1"/>
  <c r="C37" i="1"/>
  <c r="J27" i="2"/>
  <c r="E27" i="2"/>
  <c r="J26" i="2"/>
  <c r="E26" i="2"/>
  <c r="J25" i="2"/>
  <c r="J24" i="2"/>
  <c r="J23" i="2"/>
  <c r="J22" i="2"/>
  <c r="J21" i="2"/>
  <c r="J20" i="2"/>
  <c r="J19" i="2"/>
  <c r="P18" i="2"/>
  <c r="J18" i="2"/>
  <c r="P17" i="2"/>
  <c r="J17" i="2"/>
  <c r="P16" i="2"/>
  <c r="J16" i="2"/>
  <c r="P15" i="2"/>
  <c r="J15" i="2"/>
  <c r="P14" i="2"/>
  <c r="J14" i="2"/>
  <c r="P13" i="2"/>
  <c r="J13" i="2"/>
  <c r="P12" i="2"/>
  <c r="J12" i="2"/>
  <c r="P11" i="2"/>
  <c r="J11" i="2"/>
  <c r="P10" i="2"/>
  <c r="P8" i="2" s="1"/>
  <c r="J10" i="2"/>
  <c r="P9" i="2"/>
  <c r="J9" i="2"/>
  <c r="O8" i="2"/>
  <c r="N8" i="2"/>
  <c r="M8" i="2"/>
  <c r="I8" i="2"/>
  <c r="H8" i="2"/>
  <c r="D8" i="2"/>
  <c r="C8" i="2"/>
  <c r="K27" i="1"/>
  <c r="E27" i="1"/>
  <c r="K26" i="1"/>
  <c r="E26" i="1"/>
  <c r="K25" i="1"/>
  <c r="E25" i="1"/>
  <c r="K24" i="1"/>
  <c r="E24" i="1"/>
  <c r="K23" i="1"/>
  <c r="E23" i="1"/>
  <c r="K22" i="1"/>
  <c r="E22" i="1"/>
  <c r="K21" i="1"/>
  <c r="E21" i="1"/>
  <c r="K20" i="1"/>
  <c r="E20" i="1"/>
  <c r="K19" i="1"/>
  <c r="E19" i="1"/>
  <c r="Q18" i="1"/>
  <c r="K18" i="1"/>
  <c r="E18" i="1"/>
  <c r="Q17" i="1"/>
  <c r="K17" i="1"/>
  <c r="E17" i="1"/>
  <c r="Q16" i="1"/>
  <c r="K16" i="1"/>
  <c r="E16" i="1"/>
  <c r="Q15" i="1"/>
  <c r="K15" i="1"/>
  <c r="E15" i="1"/>
  <c r="Q14" i="1"/>
  <c r="K14" i="1"/>
  <c r="E14" i="1"/>
  <c r="Q13" i="1"/>
  <c r="K13" i="1"/>
  <c r="E13" i="1"/>
  <c r="Q12" i="1"/>
  <c r="K12" i="1"/>
  <c r="E12" i="1"/>
  <c r="Q11" i="1"/>
  <c r="K11" i="1"/>
  <c r="E11" i="1"/>
  <c r="Q10" i="1"/>
  <c r="K10" i="1"/>
  <c r="E10" i="1"/>
  <c r="Q9" i="1"/>
  <c r="K9" i="1"/>
  <c r="E9" i="1"/>
  <c r="Q8" i="1"/>
  <c r="P8" i="1"/>
  <c r="O8" i="1"/>
  <c r="N8" i="1"/>
  <c r="K8" i="1"/>
  <c r="J8" i="1"/>
  <c r="I8" i="1"/>
  <c r="H8" i="1"/>
  <c r="E8" i="1"/>
  <c r="D8" i="1"/>
  <c r="C8" i="1"/>
  <c r="J8" i="2" l="1"/>
  <c r="E8" i="2"/>
</calcChain>
</file>

<file path=xl/sharedStrings.xml><?xml version="1.0" encoding="utf-8"?>
<sst xmlns="http://schemas.openxmlformats.org/spreadsheetml/2006/main" count="242" uniqueCount="50">
  <si>
    <t>População por sexo e idade</t>
  </si>
  <si>
    <t>Óbitos por sexo e idade</t>
  </si>
  <si>
    <t>Nascidos Vivos por sexo e idade da mãe</t>
  </si>
  <si>
    <t>NOVA ZELÂNDIA – 2020</t>
  </si>
  <si>
    <t>Faixa Etária (em anos)</t>
  </si>
  <si>
    <t>Masculino</t>
  </si>
  <si>
    <t>Feminino</t>
  </si>
  <si>
    <t>Total</t>
  </si>
  <si>
    <t>Sexo Ignorado</t>
  </si>
  <si>
    <t>Idade da mãe</t>
  </si>
  <si>
    <t>&lt;1</t>
  </si>
  <si>
    <t>&lt;15</t>
  </si>
  <si>
    <t>1  -  4</t>
  </si>
  <si>
    <t>15 - 19</t>
  </si>
  <si>
    <t>5  -  9</t>
  </si>
  <si>
    <t>20 - 24</t>
  </si>
  <si>
    <t>10 - 14</t>
  </si>
  <si>
    <t>25 - 29</t>
  </si>
  <si>
    <t>15  - 19</t>
  </si>
  <si>
    <t>30 - 34</t>
  </si>
  <si>
    <t>20  - 24</t>
  </si>
  <si>
    <t>35 - 39</t>
  </si>
  <si>
    <t>25  - 29</t>
  </si>
  <si>
    <t>40 - 44</t>
  </si>
  <si>
    <t>30  - 34</t>
  </si>
  <si>
    <t>45 - 49</t>
  </si>
  <si>
    <t>35  - 39</t>
  </si>
  <si>
    <t>50+</t>
  </si>
  <si>
    <t>40  - 44</t>
  </si>
  <si>
    <t>Idade Ignorada</t>
  </si>
  <si>
    <t>45  - 49</t>
  </si>
  <si>
    <t>Fonte:</t>
  </si>
  <si>
    <t>United Nations/Department of Economic and Social Affairs/Statistics Division/Demographic
Yearbook - 2020</t>
  </si>
  <si>
    <t>50  - 54</t>
  </si>
  <si>
    <t>Notas:</t>
  </si>
  <si>
    <t>O arredondamento aleatório para a base 3 é aplicado nesta tabela como uma medida de confidencialidade. Os dados referem-se a nascimentos registados no país de mães residentes no país.</t>
  </si>
  <si>
    <t>55  - 59</t>
  </si>
  <si>
    <t>60  - 64</t>
  </si>
  <si>
    <t>65  - 69</t>
  </si>
  <si>
    <t>70  - 74</t>
  </si>
  <si>
    <t>75  - 79</t>
  </si>
  <si>
    <t>80+</t>
  </si>
  <si>
    <r>
      <rPr>
        <b/>
        <sz val="10"/>
        <rFont val="Arial"/>
        <family val="2"/>
      </rPr>
      <t>Fonte:</t>
    </r>
    <r>
      <rPr>
        <sz val="10"/>
        <rFont val="Arial"/>
        <family val="2"/>
      </rPr>
      <t xml:space="preserve"> </t>
    </r>
  </si>
  <si>
    <t>United Nations/Department of Economic and Social Affairs/Statistics Division/Demographic
Yearbook - 2021</t>
  </si>
  <si>
    <t>Devido aos arredondamentos, os totais nem sempre são a soma das respectivas componentes.</t>
  </si>
  <si>
    <t>Os dados referem-se apenas a óbitos de residentes. O arredondamento aleatório para a base 3 é aplicado nesta tabela como uma medida de confidencialidade.</t>
  </si>
  <si>
    <t>PALMAS – 2021</t>
  </si>
  <si>
    <t>TABNET (Datasus/Ministério da Saúde) - 2021</t>
  </si>
  <si>
    <t>PALMAS – 2011</t>
  </si>
  <si>
    <t>TABNET (Datasus/Ministério da Saúde)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</si>
</sst>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2"/>
      <name val="Arial"/>
      <family val="2"/>
      <charset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2" xfId="0" applyNumberFormat="1" applyBorder="1" applyAlignment="1">
      <alignment horizontal="center"/>
    </xf>
    <xf numFmtId="3" fontId="0" fillId="0" borderId="3" xfId="0" applyNumberFormat="1" applyBorder="1"/>
    <xf numFmtId="49" fontId="0" fillId="0" borderId="5" xfId="0" applyNumberFormat="1" applyBorder="1" applyAlignment="1">
      <alignment horizontal="center"/>
    </xf>
    <xf numFmtId="3" fontId="0" fillId="0" borderId="6" xfId="0" applyNumberFormat="1" applyBorder="1"/>
    <xf numFmtId="3" fontId="0" fillId="0" borderId="7" xfId="0" applyNumberFormat="1" applyBorder="1"/>
    <xf numFmtId="49" fontId="0" fillId="0" borderId="8" xfId="0" applyNumberFormat="1" applyBorder="1" applyAlignment="1">
      <alignment horizontal="center"/>
    </xf>
    <xf numFmtId="3" fontId="0" fillId="0" borderId="9" xfId="0" applyNumberFormat="1" applyBorder="1" applyProtection="1">
      <protection locked="0"/>
    </xf>
    <xf numFmtId="3" fontId="0" fillId="0" borderId="10" xfId="0" applyNumberFormat="1" applyBorder="1"/>
    <xf numFmtId="49" fontId="2" fillId="0" borderId="0" xfId="0" applyNumberFormat="1" applyFont="1"/>
    <xf numFmtId="3" fontId="0" fillId="0" borderId="0" xfId="0" applyNumberFormat="1"/>
    <xf numFmtId="3" fontId="0" fillId="0" borderId="0" xfId="0" applyNumberFormat="1" applyAlignment="1">
      <alignment horizontal="right"/>
    </xf>
    <xf numFmtId="49" fontId="2" fillId="0" borderId="3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C9222-72F7-4A50-8835-71A498F37E05}">
  <dimension ref="B2:Q34"/>
  <sheetViews>
    <sheetView zoomScaleNormal="100" workbookViewId="0">
      <selection activeCell="M9" sqref="M9:N17"/>
    </sheetView>
  </sheetViews>
  <sheetFormatPr defaultColWidth="12" defaultRowHeight="13.2" x14ac:dyDescent="0.25"/>
  <cols>
    <col min="1" max="1" width="3" customWidth="1"/>
    <col min="2" max="2" width="13.33203125" customWidth="1"/>
    <col min="3" max="4" width="10.109375" customWidth="1"/>
    <col min="5" max="5" width="11.5546875" customWidth="1"/>
    <col min="6" max="6" width="12.109375" customWidth="1"/>
    <col min="7" max="7" width="13.109375" customWidth="1"/>
    <col min="8" max="9" width="10.109375" customWidth="1"/>
    <col min="10" max="10" width="11.33203125" customWidth="1"/>
    <col min="11" max="12" width="11.5546875" customWidth="1"/>
    <col min="13" max="13" width="12.44140625" customWidth="1"/>
    <col min="14" max="253" width="11.5546875" customWidth="1"/>
  </cols>
  <sheetData>
    <row r="2" spans="2:17" ht="12.9" customHeight="1" x14ac:dyDescent="0.25">
      <c r="B2" s="13" t="s">
        <v>0</v>
      </c>
      <c r="C2" s="13"/>
      <c r="D2" s="13"/>
      <c r="E2" s="13"/>
      <c r="G2" s="13" t="s">
        <v>1</v>
      </c>
      <c r="H2" s="13"/>
      <c r="I2" s="13"/>
      <c r="J2" s="13"/>
      <c r="K2" s="13"/>
      <c r="M2" s="13" t="s">
        <v>2</v>
      </c>
      <c r="N2" s="13"/>
      <c r="O2" s="13"/>
      <c r="P2" s="13"/>
      <c r="Q2" s="13"/>
    </row>
    <row r="3" spans="2:17" x14ac:dyDescent="0.25">
      <c r="B3" s="13"/>
      <c r="C3" s="13"/>
      <c r="D3" s="13"/>
      <c r="E3" s="13"/>
      <c r="G3" s="13"/>
      <c r="H3" s="13"/>
      <c r="I3" s="13"/>
      <c r="J3" s="13"/>
      <c r="K3" s="13"/>
      <c r="M3" s="13"/>
      <c r="N3" s="13"/>
      <c r="O3" s="13"/>
      <c r="P3" s="13"/>
      <c r="Q3" s="13"/>
    </row>
    <row r="4" spans="2:17" ht="12.9" customHeight="1" x14ac:dyDescent="0.25">
      <c r="B4" s="14" t="s">
        <v>3</v>
      </c>
      <c r="C4" s="14"/>
      <c r="D4" s="14"/>
      <c r="E4" s="14"/>
      <c r="G4" s="14" t="s">
        <v>3</v>
      </c>
      <c r="H4" s="14"/>
      <c r="I4" s="14"/>
      <c r="J4" s="14"/>
      <c r="K4" s="14"/>
      <c r="M4" s="14" t="s">
        <v>3</v>
      </c>
      <c r="N4" s="14"/>
      <c r="O4" s="14"/>
      <c r="P4" s="14"/>
      <c r="Q4" s="14"/>
    </row>
    <row r="5" spans="2:17" ht="13.8" thickBot="1" x14ac:dyDescent="0.3">
      <c r="B5" s="14"/>
      <c r="C5" s="14"/>
      <c r="D5" s="14"/>
      <c r="E5" s="14"/>
      <c r="G5" s="14"/>
      <c r="H5" s="14"/>
      <c r="I5" s="14"/>
      <c r="J5" s="14"/>
      <c r="K5" s="14"/>
      <c r="M5" s="14"/>
      <c r="N5" s="14"/>
      <c r="O5" s="14"/>
      <c r="P5" s="14"/>
      <c r="Q5" s="14"/>
    </row>
    <row r="6" spans="2:17" ht="12.9" customHeight="1" thickBot="1" x14ac:dyDescent="0.3">
      <c r="B6" s="15" t="s">
        <v>4</v>
      </c>
      <c r="C6" s="12" t="s">
        <v>5</v>
      </c>
      <c r="D6" s="12" t="s">
        <v>6</v>
      </c>
      <c r="E6" s="16" t="s">
        <v>7</v>
      </c>
      <c r="G6" s="15" t="s">
        <v>4</v>
      </c>
      <c r="H6" s="12" t="s">
        <v>5</v>
      </c>
      <c r="I6" s="12" t="s">
        <v>6</v>
      </c>
      <c r="J6" s="16" t="s">
        <v>7</v>
      </c>
      <c r="L6" s="15" t="s">
        <v>9</v>
      </c>
      <c r="M6" s="12" t="s">
        <v>5</v>
      </c>
      <c r="N6" s="12" t="s">
        <v>6</v>
      </c>
      <c r="O6" s="17" t="s">
        <v>8</v>
      </c>
      <c r="P6" s="16" t="s">
        <v>7</v>
      </c>
    </row>
    <row r="7" spans="2:17" ht="13.8" thickBot="1" x14ac:dyDescent="0.3">
      <c r="B7" s="15"/>
      <c r="C7" s="12"/>
      <c r="D7" s="12"/>
      <c r="E7" s="16"/>
      <c r="G7" s="15"/>
      <c r="H7" s="12"/>
      <c r="I7" s="12"/>
      <c r="J7" s="17"/>
      <c r="L7" s="15"/>
      <c r="M7" s="12"/>
      <c r="N7" s="12"/>
      <c r="O7" s="17"/>
      <c r="P7" s="17"/>
    </row>
    <row r="8" spans="2:17" ht="13.8" thickBot="1" x14ac:dyDescent="0.3">
      <c r="B8" s="1" t="s">
        <v>7</v>
      </c>
      <c r="C8" s="2">
        <f>SUM(C9:C27)</f>
        <v>2524850</v>
      </c>
      <c r="D8" s="2">
        <f>SUM(D9:D27)</f>
        <v>2559440</v>
      </c>
      <c r="E8" s="2">
        <f>SUM(E9:E27)</f>
        <v>5084290</v>
      </c>
      <c r="G8" s="1" t="s">
        <v>7</v>
      </c>
      <c r="H8" s="2">
        <f>SUM(H9:H27)</f>
        <v>19293</v>
      </c>
      <c r="I8" s="2">
        <f>SUM(I9:I27)</f>
        <v>19758</v>
      </c>
      <c r="J8" s="2">
        <f>SUM(J9:J27)</f>
        <v>39051</v>
      </c>
      <c r="L8" s="1" t="s">
        <v>7</v>
      </c>
      <c r="M8" s="2">
        <f>SUM(M9:M18)</f>
        <v>29529</v>
      </c>
      <c r="N8" s="2">
        <f>SUM(N9:N18)</f>
        <v>28041</v>
      </c>
      <c r="O8" s="2">
        <f>SUM(O9:O18)</f>
        <v>0</v>
      </c>
      <c r="P8" s="2">
        <f>SUM(P9:P18)</f>
        <v>57570</v>
      </c>
    </row>
    <row r="9" spans="2:17" x14ac:dyDescent="0.25">
      <c r="B9" s="3" t="s">
        <v>10</v>
      </c>
      <c r="C9" s="10">
        <v>30040</v>
      </c>
      <c r="D9" s="4">
        <v>28970</v>
      </c>
      <c r="E9" s="5">
        <f t="shared" ref="E9:E27" si="0">SUM(C9:D9)</f>
        <v>59010</v>
      </c>
      <c r="G9" s="3" t="s">
        <v>10</v>
      </c>
      <c r="H9" s="4">
        <v>135</v>
      </c>
      <c r="I9" s="4">
        <v>96</v>
      </c>
      <c r="J9" s="5">
        <f>SUM(H9:I9)</f>
        <v>231</v>
      </c>
      <c r="L9" s="3" t="s">
        <v>11</v>
      </c>
      <c r="M9" s="4">
        <v>6</v>
      </c>
      <c r="N9" s="4">
        <v>6</v>
      </c>
      <c r="O9" s="5"/>
      <c r="P9" s="5">
        <f t="shared" ref="P9:P18" si="1">SUM(M9:O9)</f>
        <v>12</v>
      </c>
    </row>
    <row r="10" spans="2:17" x14ac:dyDescent="0.25">
      <c r="B10" s="3" t="s">
        <v>12</v>
      </c>
      <c r="C10" s="4">
        <v>126630</v>
      </c>
      <c r="D10" s="4">
        <v>119720</v>
      </c>
      <c r="E10" s="5">
        <f t="shared" si="0"/>
        <v>246350</v>
      </c>
      <c r="G10" s="3" t="s">
        <v>12</v>
      </c>
      <c r="H10" s="4">
        <v>18</v>
      </c>
      <c r="I10" s="4">
        <v>18</v>
      </c>
      <c r="J10" s="5">
        <f>SUM(H10:I10)</f>
        <v>36</v>
      </c>
      <c r="L10" s="3" t="s">
        <v>13</v>
      </c>
      <c r="M10" s="4">
        <v>936</v>
      </c>
      <c r="N10" s="4">
        <v>945</v>
      </c>
      <c r="O10" s="5"/>
      <c r="P10" s="5">
        <f t="shared" si="1"/>
        <v>1881</v>
      </c>
    </row>
    <row r="11" spans="2:17" x14ac:dyDescent="0.25">
      <c r="B11" s="3" t="s">
        <v>14</v>
      </c>
      <c r="C11" s="4">
        <v>168660</v>
      </c>
      <c r="D11" s="4">
        <v>160100</v>
      </c>
      <c r="E11" s="5">
        <f t="shared" si="0"/>
        <v>328760</v>
      </c>
      <c r="G11" s="3" t="s">
        <v>14</v>
      </c>
      <c r="H11" s="4">
        <v>21</v>
      </c>
      <c r="I11" s="4">
        <v>3</v>
      </c>
      <c r="J11" s="5">
        <f>SUM(H11:I11)</f>
        <v>24</v>
      </c>
      <c r="L11" s="3" t="s">
        <v>15</v>
      </c>
      <c r="M11" s="4">
        <v>4083</v>
      </c>
      <c r="N11" s="4">
        <v>3894</v>
      </c>
      <c r="O11" s="5"/>
      <c r="P11" s="5">
        <f t="shared" si="1"/>
        <v>7977</v>
      </c>
    </row>
    <row r="12" spans="2:17" x14ac:dyDescent="0.25">
      <c r="B12" s="3" t="s">
        <v>16</v>
      </c>
      <c r="C12" s="4">
        <v>170870</v>
      </c>
      <c r="D12" s="4">
        <v>161400</v>
      </c>
      <c r="E12" s="5">
        <f t="shared" si="0"/>
        <v>332270</v>
      </c>
      <c r="G12" s="3" t="s">
        <v>16</v>
      </c>
      <c r="H12" s="4">
        <v>27</v>
      </c>
      <c r="I12" s="4">
        <v>15</v>
      </c>
      <c r="J12" s="5">
        <f>SUM(H12:I12)</f>
        <v>42</v>
      </c>
      <c r="L12" s="3" t="s">
        <v>17</v>
      </c>
      <c r="M12" s="4">
        <v>8106</v>
      </c>
      <c r="N12" s="4">
        <v>7599</v>
      </c>
      <c r="O12" s="5"/>
      <c r="P12" s="5">
        <f t="shared" si="1"/>
        <v>15705</v>
      </c>
    </row>
    <row r="13" spans="2:17" x14ac:dyDescent="0.25">
      <c r="B13" s="3" t="s">
        <v>18</v>
      </c>
      <c r="C13" s="4">
        <v>163140</v>
      </c>
      <c r="D13" s="4">
        <v>154740</v>
      </c>
      <c r="E13" s="5">
        <f t="shared" si="0"/>
        <v>317880</v>
      </c>
      <c r="G13" s="3" t="s">
        <v>18</v>
      </c>
      <c r="H13" s="4">
        <v>78</v>
      </c>
      <c r="I13" s="4">
        <v>45</v>
      </c>
      <c r="J13" s="5">
        <f>SUM(H13:I13)</f>
        <v>123</v>
      </c>
      <c r="L13" s="3" t="s">
        <v>19</v>
      </c>
      <c r="M13" s="4">
        <v>10014</v>
      </c>
      <c r="N13" s="4">
        <v>9501</v>
      </c>
      <c r="O13" s="5"/>
      <c r="P13" s="5">
        <f t="shared" si="1"/>
        <v>19515</v>
      </c>
    </row>
    <row r="14" spans="2:17" x14ac:dyDescent="0.25">
      <c r="B14" s="3" t="s">
        <v>20</v>
      </c>
      <c r="C14" s="4">
        <v>175470</v>
      </c>
      <c r="D14" s="4">
        <v>163180</v>
      </c>
      <c r="E14" s="5">
        <f t="shared" si="0"/>
        <v>338650</v>
      </c>
      <c r="G14" s="3" t="s">
        <v>20</v>
      </c>
      <c r="H14" s="4">
        <v>111</v>
      </c>
      <c r="I14" s="4">
        <v>60</v>
      </c>
      <c r="J14" s="5">
        <f>SUM(H14:I14)</f>
        <v>171</v>
      </c>
      <c r="L14" s="3" t="s">
        <v>21</v>
      </c>
      <c r="M14" s="4">
        <v>5226</v>
      </c>
      <c r="N14" s="4">
        <v>5007</v>
      </c>
      <c r="O14" s="5"/>
      <c r="P14" s="5">
        <f t="shared" si="1"/>
        <v>10233</v>
      </c>
    </row>
    <row r="15" spans="2:17" x14ac:dyDescent="0.25">
      <c r="B15" s="3" t="s">
        <v>22</v>
      </c>
      <c r="C15" s="4">
        <v>194370</v>
      </c>
      <c r="D15" s="4">
        <v>185970</v>
      </c>
      <c r="E15" s="5">
        <f t="shared" si="0"/>
        <v>380340</v>
      </c>
      <c r="G15" s="3" t="s">
        <v>22</v>
      </c>
      <c r="H15" s="4">
        <v>144</v>
      </c>
      <c r="I15" s="4">
        <v>60</v>
      </c>
      <c r="J15" s="5">
        <f>SUM(H15:I15)</f>
        <v>204</v>
      </c>
      <c r="L15" s="3" t="s">
        <v>23</v>
      </c>
      <c r="M15" s="4">
        <v>1074</v>
      </c>
      <c r="N15" s="4">
        <v>1017</v>
      </c>
      <c r="O15" s="5"/>
      <c r="P15" s="5">
        <f t="shared" si="1"/>
        <v>2091</v>
      </c>
    </row>
    <row r="16" spans="2:17" x14ac:dyDescent="0.25">
      <c r="B16" s="3" t="s">
        <v>24</v>
      </c>
      <c r="C16" s="4">
        <v>186010</v>
      </c>
      <c r="D16" s="4">
        <v>187070</v>
      </c>
      <c r="E16" s="5">
        <f t="shared" si="0"/>
        <v>373080</v>
      </c>
      <c r="G16" s="3" t="s">
        <v>24</v>
      </c>
      <c r="H16" s="4">
        <v>129</v>
      </c>
      <c r="I16" s="4">
        <v>72</v>
      </c>
      <c r="J16" s="5">
        <f>SUM(H16:I16)</f>
        <v>201</v>
      </c>
      <c r="L16" s="3" t="s">
        <v>25</v>
      </c>
      <c r="M16" s="4">
        <v>75</v>
      </c>
      <c r="N16" s="4">
        <v>69</v>
      </c>
      <c r="O16" s="5"/>
      <c r="P16" s="5">
        <f t="shared" si="1"/>
        <v>144</v>
      </c>
    </row>
    <row r="17" spans="2:16" x14ac:dyDescent="0.25">
      <c r="B17" s="3" t="s">
        <v>26</v>
      </c>
      <c r="C17" s="4">
        <v>166120</v>
      </c>
      <c r="D17" s="4">
        <v>168710</v>
      </c>
      <c r="E17" s="5">
        <f t="shared" si="0"/>
        <v>334830</v>
      </c>
      <c r="G17" s="3" t="s">
        <v>26</v>
      </c>
      <c r="H17" s="4">
        <v>159</v>
      </c>
      <c r="I17" s="4">
        <v>99</v>
      </c>
      <c r="J17" s="5">
        <f>SUM(H17:I17)</f>
        <v>258</v>
      </c>
      <c r="L17" s="3" t="s">
        <v>27</v>
      </c>
      <c r="M17" s="4">
        <v>9</v>
      </c>
      <c r="N17" s="4">
        <v>3</v>
      </c>
      <c r="O17" s="5"/>
      <c r="P17" s="5">
        <f t="shared" si="1"/>
        <v>12</v>
      </c>
    </row>
    <row r="18" spans="2:16" ht="13.8" thickBot="1" x14ac:dyDescent="0.3">
      <c r="B18" s="3" t="s">
        <v>28</v>
      </c>
      <c r="C18" s="4">
        <v>152650</v>
      </c>
      <c r="D18" s="4">
        <v>155810</v>
      </c>
      <c r="E18" s="5">
        <f t="shared" si="0"/>
        <v>308460</v>
      </c>
      <c r="G18" s="3" t="s">
        <v>28</v>
      </c>
      <c r="H18" s="4">
        <v>219</v>
      </c>
      <c r="I18" s="4">
        <v>132</v>
      </c>
      <c r="J18" s="5">
        <f>SUM(H18:I18)</f>
        <v>351</v>
      </c>
      <c r="L18" s="6" t="s">
        <v>29</v>
      </c>
      <c r="M18" s="7"/>
      <c r="N18" s="7"/>
      <c r="O18" s="8"/>
      <c r="P18" s="8">
        <f t="shared" si="1"/>
        <v>0</v>
      </c>
    </row>
    <row r="19" spans="2:16" x14ac:dyDescent="0.25">
      <c r="B19" s="3" t="s">
        <v>30</v>
      </c>
      <c r="C19" s="4">
        <v>162320</v>
      </c>
      <c r="D19" s="4">
        <v>169550</v>
      </c>
      <c r="E19" s="5">
        <f t="shared" si="0"/>
        <v>331870</v>
      </c>
      <c r="G19" s="3" t="s">
        <v>30</v>
      </c>
      <c r="H19" s="4">
        <v>369</v>
      </c>
      <c r="I19" s="4">
        <v>228</v>
      </c>
      <c r="J19" s="5">
        <f>SUM(H19:I19)</f>
        <v>597</v>
      </c>
      <c r="L19" s="9" t="s">
        <v>31</v>
      </c>
      <c r="M19" t="s">
        <v>32</v>
      </c>
    </row>
    <row r="20" spans="2:16" x14ac:dyDescent="0.25">
      <c r="B20" s="3" t="s">
        <v>33</v>
      </c>
      <c r="C20" s="4">
        <v>159450</v>
      </c>
      <c r="D20" s="4">
        <v>166590</v>
      </c>
      <c r="E20" s="5">
        <f t="shared" si="0"/>
        <v>326040</v>
      </c>
      <c r="G20" s="3" t="s">
        <v>33</v>
      </c>
      <c r="H20" s="4">
        <v>525</v>
      </c>
      <c r="I20" s="4">
        <v>393</v>
      </c>
      <c r="J20" s="5">
        <f>SUM(H20:I20)</f>
        <v>918</v>
      </c>
      <c r="L20" s="9" t="s">
        <v>34</v>
      </c>
      <c r="M20" t="s">
        <v>35</v>
      </c>
    </row>
    <row r="21" spans="2:16" x14ac:dyDescent="0.25">
      <c r="B21" s="3" t="s">
        <v>36</v>
      </c>
      <c r="C21" s="4">
        <v>158020</v>
      </c>
      <c r="D21" s="4">
        <v>167610</v>
      </c>
      <c r="E21" s="5">
        <f t="shared" si="0"/>
        <v>325630</v>
      </c>
      <c r="G21" s="3" t="s">
        <v>36</v>
      </c>
      <c r="H21" s="4">
        <v>768</v>
      </c>
      <c r="I21" s="4">
        <v>624</v>
      </c>
      <c r="J21" s="5">
        <f>SUM(H21:I21)</f>
        <v>1392</v>
      </c>
    </row>
    <row r="22" spans="2:16" x14ac:dyDescent="0.25">
      <c r="B22" s="3" t="s">
        <v>37</v>
      </c>
      <c r="C22" s="4">
        <v>140740</v>
      </c>
      <c r="D22" s="4">
        <v>149360</v>
      </c>
      <c r="E22" s="5">
        <f t="shared" si="0"/>
        <v>290100</v>
      </c>
      <c r="G22" s="3" t="s">
        <v>37</v>
      </c>
      <c r="H22" s="4">
        <v>1071</v>
      </c>
      <c r="I22" s="4">
        <v>735</v>
      </c>
      <c r="J22" s="5">
        <f>SUM(H22:I22)</f>
        <v>1806</v>
      </c>
    </row>
    <row r="23" spans="2:16" x14ac:dyDescent="0.25">
      <c r="B23" s="3" t="s">
        <v>38</v>
      </c>
      <c r="C23" s="4">
        <v>120220</v>
      </c>
      <c r="D23" s="4">
        <v>126970</v>
      </c>
      <c r="E23" s="5">
        <f t="shared" si="0"/>
        <v>247190</v>
      </c>
      <c r="G23" s="3" t="s">
        <v>38</v>
      </c>
      <c r="H23" s="4">
        <v>1404</v>
      </c>
      <c r="I23" s="4">
        <v>1011</v>
      </c>
      <c r="J23" s="5">
        <f>SUM(H23:I23)</f>
        <v>2415</v>
      </c>
    </row>
    <row r="24" spans="2:16" x14ac:dyDescent="0.25">
      <c r="B24" s="3" t="s">
        <v>39</v>
      </c>
      <c r="C24" s="4">
        <v>103160</v>
      </c>
      <c r="D24" s="4">
        <v>109210</v>
      </c>
      <c r="E24" s="5">
        <f t="shared" si="0"/>
        <v>212370</v>
      </c>
      <c r="G24" s="3" t="s">
        <v>39</v>
      </c>
      <c r="H24" s="4">
        <v>1908</v>
      </c>
      <c r="I24" s="4">
        <v>1362</v>
      </c>
      <c r="J24" s="5">
        <f>SUM(H24:I24)</f>
        <v>3270</v>
      </c>
    </row>
    <row r="25" spans="2:16" x14ac:dyDescent="0.25">
      <c r="B25" s="3" t="s">
        <v>40</v>
      </c>
      <c r="C25" s="4">
        <v>69300</v>
      </c>
      <c r="D25" s="4">
        <v>77120</v>
      </c>
      <c r="E25" s="5">
        <f t="shared" si="0"/>
        <v>146420</v>
      </c>
      <c r="G25" s="3" t="s">
        <v>40</v>
      </c>
      <c r="H25" s="4">
        <v>2331</v>
      </c>
      <c r="I25" s="4">
        <v>1686</v>
      </c>
      <c r="J25" s="5">
        <f>SUM(H25:I25)</f>
        <v>4017</v>
      </c>
    </row>
    <row r="26" spans="2:16" x14ac:dyDescent="0.25">
      <c r="B26" s="3" t="s">
        <v>41</v>
      </c>
      <c r="C26" s="4">
        <v>77680</v>
      </c>
      <c r="D26" s="4">
        <v>107360</v>
      </c>
      <c r="E26" s="5">
        <f t="shared" si="0"/>
        <v>185040</v>
      </c>
      <c r="G26" s="3" t="s">
        <v>41</v>
      </c>
      <c r="H26" s="4">
        <v>9876</v>
      </c>
      <c r="I26" s="4">
        <v>13119</v>
      </c>
      <c r="J26" s="5">
        <f>SUM(H26:I26)</f>
        <v>22995</v>
      </c>
    </row>
    <row r="27" spans="2:16" ht="13.8" thickBot="1" x14ac:dyDescent="0.3">
      <c r="B27" s="6" t="s">
        <v>29</v>
      </c>
      <c r="C27" s="7"/>
      <c r="D27" s="7"/>
      <c r="E27" s="8">
        <f t="shared" si="0"/>
        <v>0</v>
      </c>
      <c r="G27" s="6" t="s">
        <v>29</v>
      </c>
      <c r="H27" s="7"/>
      <c r="I27" s="7"/>
      <c r="J27" s="8">
        <f>SUM(H27:I27)</f>
        <v>0</v>
      </c>
    </row>
    <row r="28" spans="2:16" x14ac:dyDescent="0.25">
      <c r="B28" s="9" t="s">
        <v>42</v>
      </c>
      <c r="C28" t="s">
        <v>43</v>
      </c>
      <c r="G28" s="9" t="s">
        <v>31</v>
      </c>
      <c r="H28" t="s">
        <v>43</v>
      </c>
    </row>
    <row r="29" spans="2:16" x14ac:dyDescent="0.25">
      <c r="B29" s="9" t="s">
        <v>34</v>
      </c>
      <c r="C29" t="s">
        <v>44</v>
      </c>
      <c r="G29" s="9" t="s">
        <v>34</v>
      </c>
      <c r="H29" t="s">
        <v>45</v>
      </c>
    </row>
    <row r="31" spans="2:16" x14ac:dyDescent="0.25">
      <c r="D31" s="11"/>
    </row>
    <row r="32" spans="2:16" x14ac:dyDescent="0.25">
      <c r="D32" s="11"/>
    </row>
    <row r="33" spans="4:4" x14ac:dyDescent="0.25">
      <c r="D33" s="11"/>
    </row>
    <row r="34" spans="4:4" x14ac:dyDescent="0.25">
      <c r="D34" s="11"/>
    </row>
  </sheetData>
  <mergeCells count="19">
    <mergeCell ref="J6:J7"/>
    <mergeCell ref="L6:L7"/>
    <mergeCell ref="M6:M7"/>
    <mergeCell ref="N6:N7"/>
    <mergeCell ref="H6:H7"/>
    <mergeCell ref="B2:E3"/>
    <mergeCell ref="G2:K3"/>
    <mergeCell ref="M2:Q3"/>
    <mergeCell ref="B4:E5"/>
    <mergeCell ref="G4:K5"/>
    <mergeCell ref="M4:Q5"/>
    <mergeCell ref="B6:B7"/>
    <mergeCell ref="C6:C7"/>
    <mergeCell ref="D6:D7"/>
    <mergeCell ref="E6:E7"/>
    <mergeCell ref="G6:G7"/>
    <mergeCell ref="O6:O7"/>
    <mergeCell ref="P6:P7"/>
    <mergeCell ref="I6:I7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58"/>
  <sheetViews>
    <sheetView tabSelected="1" zoomScaleNormal="100" workbookViewId="0">
      <selection activeCell="N38" sqref="N38:O45"/>
    </sheetView>
  </sheetViews>
  <sheetFormatPr defaultColWidth="12" defaultRowHeight="13.2" x14ac:dyDescent="0.25"/>
  <cols>
    <col min="1" max="1" width="3" customWidth="1"/>
    <col min="2" max="2" width="13.33203125" customWidth="1"/>
    <col min="3" max="4" width="10.109375" customWidth="1"/>
    <col min="5" max="5" width="11.5546875" customWidth="1"/>
    <col min="6" max="6" width="12.109375" customWidth="1"/>
    <col min="7" max="7" width="13.109375" customWidth="1"/>
    <col min="8" max="9" width="10.109375" customWidth="1"/>
    <col min="10" max="10" width="11.33203125" customWidth="1"/>
    <col min="11" max="12" width="11.5546875" customWidth="1"/>
    <col min="13" max="13" width="12.44140625" customWidth="1"/>
    <col min="14" max="253" width="11.5546875" customWidth="1"/>
  </cols>
  <sheetData>
    <row r="2" spans="2:17" ht="12.9" customHeight="1" x14ac:dyDescent="0.25">
      <c r="B2" s="13" t="s">
        <v>0</v>
      </c>
      <c r="C2" s="13"/>
      <c r="D2" s="13"/>
      <c r="E2" s="13"/>
      <c r="G2" s="13" t="s">
        <v>1</v>
      </c>
      <c r="H2" s="13"/>
      <c r="I2" s="13"/>
      <c r="J2" s="13"/>
      <c r="K2" s="13"/>
      <c r="M2" s="13" t="s">
        <v>2</v>
      </c>
      <c r="N2" s="13"/>
      <c r="O2" s="13"/>
      <c r="P2" s="13"/>
      <c r="Q2" s="13"/>
    </row>
    <row r="3" spans="2:17" x14ac:dyDescent="0.25">
      <c r="B3" s="13"/>
      <c r="C3" s="13"/>
      <c r="D3" s="13"/>
      <c r="E3" s="13"/>
      <c r="G3" s="13"/>
      <c r="H3" s="13"/>
      <c r="I3" s="13"/>
      <c r="J3" s="13"/>
      <c r="K3" s="13"/>
      <c r="M3" s="13"/>
      <c r="N3" s="13"/>
      <c r="O3" s="13"/>
      <c r="P3" s="13"/>
      <c r="Q3" s="13"/>
    </row>
    <row r="4" spans="2:17" ht="12.9" customHeight="1" x14ac:dyDescent="0.25">
      <c r="B4" s="14" t="s">
        <v>46</v>
      </c>
      <c r="C4" s="14"/>
      <c r="D4" s="14"/>
      <c r="E4" s="14"/>
      <c r="G4" s="14" t="s">
        <v>46</v>
      </c>
      <c r="H4" s="14"/>
      <c r="I4" s="14"/>
      <c r="J4" s="14"/>
      <c r="K4" s="14"/>
      <c r="M4" s="14" t="s">
        <v>46</v>
      </c>
      <c r="N4" s="14"/>
      <c r="O4" s="14"/>
      <c r="P4" s="14"/>
      <c r="Q4" s="14"/>
    </row>
    <row r="5" spans="2:17" ht="12.9" customHeight="1" x14ac:dyDescent="0.25">
      <c r="B5" s="14"/>
      <c r="C5" s="14"/>
      <c r="D5" s="14"/>
      <c r="E5" s="14"/>
      <c r="G5" s="14"/>
      <c r="H5" s="14"/>
      <c r="I5" s="14"/>
      <c r="J5" s="14"/>
      <c r="K5" s="14"/>
      <c r="M5" s="14"/>
      <c r="N5" s="14"/>
      <c r="O5" s="14"/>
      <c r="P5" s="14"/>
      <c r="Q5" s="14"/>
    </row>
    <row r="6" spans="2:17" ht="12.9" customHeight="1" x14ac:dyDescent="0.25">
      <c r="B6" s="15" t="s">
        <v>4</v>
      </c>
      <c r="C6" s="12" t="s">
        <v>5</v>
      </c>
      <c r="D6" s="12" t="s">
        <v>6</v>
      </c>
      <c r="E6" s="16" t="s">
        <v>7</v>
      </c>
      <c r="G6" s="15" t="s">
        <v>4</v>
      </c>
      <c r="H6" s="12" t="s">
        <v>5</v>
      </c>
      <c r="I6" s="12" t="s">
        <v>6</v>
      </c>
      <c r="J6" s="17" t="s">
        <v>8</v>
      </c>
      <c r="K6" s="16" t="s">
        <v>7</v>
      </c>
      <c r="M6" s="15" t="s">
        <v>9</v>
      </c>
      <c r="N6" s="12" t="s">
        <v>5</v>
      </c>
      <c r="O6" s="12" t="s">
        <v>6</v>
      </c>
      <c r="P6" s="17" t="s">
        <v>8</v>
      </c>
      <c r="Q6" s="16" t="s">
        <v>7</v>
      </c>
    </row>
    <row r="7" spans="2:17" x14ac:dyDescent="0.25">
      <c r="B7" s="15"/>
      <c r="C7" s="12"/>
      <c r="D7" s="12"/>
      <c r="E7" s="16"/>
      <c r="G7" s="15"/>
      <c r="H7" s="12"/>
      <c r="I7" s="12"/>
      <c r="J7" s="17"/>
      <c r="K7" s="17"/>
      <c r="M7" s="15"/>
      <c r="N7" s="12"/>
      <c r="O7" s="12"/>
      <c r="P7" s="17"/>
      <c r="Q7" s="17"/>
    </row>
    <row r="8" spans="2:17" x14ac:dyDescent="0.25">
      <c r="B8" s="1" t="s">
        <v>7</v>
      </c>
      <c r="C8" s="2">
        <f>SUM(C9:C27)</f>
        <v>26201</v>
      </c>
      <c r="D8" s="2">
        <f>SUM(D9:D27)</f>
        <v>26302</v>
      </c>
      <c r="E8" s="2">
        <f>SUM(E9:E27)</f>
        <v>52503</v>
      </c>
      <c r="G8" s="1" t="s">
        <v>7</v>
      </c>
      <c r="H8" s="2">
        <f>SUM(H9:H27)</f>
        <v>247</v>
      </c>
      <c r="I8" s="2">
        <f>SUM(I9:I27)</f>
        <v>204</v>
      </c>
      <c r="J8" s="2">
        <f>SUM(J9:J27)</f>
        <v>0</v>
      </c>
      <c r="K8" s="2">
        <f>SUM(K9:K27)</f>
        <v>451</v>
      </c>
      <c r="M8" s="1" t="s">
        <v>7</v>
      </c>
      <c r="N8" s="2">
        <f>SUM(N9:N18)</f>
        <v>405</v>
      </c>
      <c r="O8" s="2">
        <f>SUM(O9:O18)</f>
        <v>422</v>
      </c>
      <c r="P8" s="2">
        <f>SUM(P9:P18)</f>
        <v>0</v>
      </c>
      <c r="Q8" s="2">
        <f>SUM(Q9:Q18)</f>
        <v>827</v>
      </c>
    </row>
    <row r="9" spans="2:17" x14ac:dyDescent="0.25">
      <c r="B9" s="3" t="s">
        <v>10</v>
      </c>
      <c r="C9" s="4">
        <v>531</v>
      </c>
      <c r="D9" s="4">
        <v>506</v>
      </c>
      <c r="E9" s="5">
        <f t="shared" ref="E9:E27" si="0">SUM(C9:D9)</f>
        <v>1037</v>
      </c>
      <c r="G9" s="3" t="s">
        <v>10</v>
      </c>
      <c r="H9" s="4">
        <v>6</v>
      </c>
      <c r="I9" s="4">
        <v>2</v>
      </c>
      <c r="J9" s="4"/>
      <c r="K9" s="5">
        <f t="shared" ref="K9:K27" si="1">SUM(H9:J9)</f>
        <v>8</v>
      </c>
      <c r="M9" s="3" t="s">
        <v>11</v>
      </c>
      <c r="N9" s="4">
        <v>6</v>
      </c>
      <c r="O9" s="4">
        <v>5</v>
      </c>
      <c r="P9" s="5"/>
      <c r="Q9" s="5">
        <f t="shared" ref="Q9:Q18" si="2">SUM(N9:P9)</f>
        <v>11</v>
      </c>
    </row>
    <row r="10" spans="2:17" x14ac:dyDescent="0.25">
      <c r="B10" s="3" t="s">
        <v>12</v>
      </c>
      <c r="C10" s="4">
        <v>2100</v>
      </c>
      <c r="D10" s="4">
        <v>2000</v>
      </c>
      <c r="E10" s="5">
        <f t="shared" si="0"/>
        <v>4100</v>
      </c>
      <c r="G10" s="3" t="s">
        <v>12</v>
      </c>
      <c r="H10" s="4">
        <v>2</v>
      </c>
      <c r="I10" s="4">
        <v>2</v>
      </c>
      <c r="J10" s="4"/>
      <c r="K10" s="5">
        <f t="shared" si="1"/>
        <v>4</v>
      </c>
      <c r="M10" s="3" t="s">
        <v>13</v>
      </c>
      <c r="N10" s="4">
        <v>94</v>
      </c>
      <c r="O10" s="4">
        <v>95</v>
      </c>
      <c r="P10" s="5"/>
      <c r="Q10" s="5">
        <f t="shared" si="2"/>
        <v>189</v>
      </c>
    </row>
    <row r="11" spans="2:17" x14ac:dyDescent="0.25">
      <c r="B11" s="3" t="s">
        <v>14</v>
      </c>
      <c r="C11" s="4">
        <v>2446</v>
      </c>
      <c r="D11" s="4">
        <v>2336</v>
      </c>
      <c r="E11" s="5">
        <f t="shared" si="0"/>
        <v>4782</v>
      </c>
      <c r="G11" s="3" t="s">
        <v>14</v>
      </c>
      <c r="H11" s="4"/>
      <c r="I11" s="4"/>
      <c r="J11" s="4"/>
      <c r="K11" s="5">
        <f t="shared" si="1"/>
        <v>0</v>
      </c>
      <c r="M11" s="3" t="s">
        <v>15</v>
      </c>
      <c r="N11" s="4">
        <v>116</v>
      </c>
      <c r="O11" s="4">
        <v>109</v>
      </c>
      <c r="P11" s="5"/>
      <c r="Q11" s="5">
        <f t="shared" si="2"/>
        <v>225</v>
      </c>
    </row>
    <row r="12" spans="2:17" x14ac:dyDescent="0.25">
      <c r="B12" s="3" t="s">
        <v>16</v>
      </c>
      <c r="C12" s="4">
        <v>2144</v>
      </c>
      <c r="D12" s="4">
        <v>2066</v>
      </c>
      <c r="E12" s="5">
        <f t="shared" si="0"/>
        <v>4210</v>
      </c>
      <c r="G12" s="3" t="s">
        <v>16</v>
      </c>
      <c r="H12" s="4"/>
      <c r="I12" s="4">
        <v>1</v>
      </c>
      <c r="J12" s="4"/>
      <c r="K12" s="5">
        <f t="shared" si="1"/>
        <v>1</v>
      </c>
      <c r="M12" s="3" t="s">
        <v>17</v>
      </c>
      <c r="N12" s="4">
        <v>84</v>
      </c>
      <c r="O12" s="4">
        <v>102</v>
      </c>
      <c r="P12" s="5"/>
      <c r="Q12" s="5">
        <f t="shared" si="2"/>
        <v>186</v>
      </c>
    </row>
    <row r="13" spans="2:17" x14ac:dyDescent="0.25">
      <c r="B13" s="3" t="s">
        <v>18</v>
      </c>
      <c r="C13" s="4">
        <v>2287</v>
      </c>
      <c r="D13" s="4">
        <v>2138</v>
      </c>
      <c r="E13" s="5">
        <f t="shared" si="0"/>
        <v>4425</v>
      </c>
      <c r="G13" s="3" t="s">
        <v>18</v>
      </c>
      <c r="H13" s="4">
        <v>3</v>
      </c>
      <c r="I13" s="4">
        <v>2</v>
      </c>
      <c r="J13" s="4"/>
      <c r="K13" s="5">
        <f t="shared" si="1"/>
        <v>5</v>
      </c>
      <c r="M13" s="3" t="s">
        <v>19</v>
      </c>
      <c r="N13" s="4">
        <v>58</v>
      </c>
      <c r="O13" s="4">
        <v>62</v>
      </c>
      <c r="P13" s="5"/>
      <c r="Q13" s="5">
        <f t="shared" si="2"/>
        <v>120</v>
      </c>
    </row>
    <row r="14" spans="2:17" x14ac:dyDescent="0.25">
      <c r="B14" s="3" t="s">
        <v>20</v>
      </c>
      <c r="C14" s="4">
        <v>2484</v>
      </c>
      <c r="D14" s="4">
        <v>2463</v>
      </c>
      <c r="E14" s="5">
        <f t="shared" si="0"/>
        <v>4947</v>
      </c>
      <c r="G14" s="3" t="s">
        <v>20</v>
      </c>
      <c r="H14" s="4">
        <v>6</v>
      </c>
      <c r="I14" s="4">
        <v>4</v>
      </c>
      <c r="J14" s="4"/>
      <c r="K14" s="5">
        <f t="shared" si="1"/>
        <v>10</v>
      </c>
      <c r="M14" s="3" t="s">
        <v>21</v>
      </c>
      <c r="N14" s="4">
        <v>30</v>
      </c>
      <c r="O14" s="4">
        <v>36</v>
      </c>
      <c r="P14" s="5"/>
      <c r="Q14" s="5">
        <f t="shared" si="2"/>
        <v>66</v>
      </c>
    </row>
    <row r="15" spans="2:17" x14ac:dyDescent="0.25">
      <c r="B15" s="3" t="s">
        <v>22</v>
      </c>
      <c r="C15" s="4">
        <v>2308</v>
      </c>
      <c r="D15" s="4">
        <v>2275</v>
      </c>
      <c r="E15" s="5">
        <f t="shared" si="0"/>
        <v>4583</v>
      </c>
      <c r="G15" s="3" t="s">
        <v>22</v>
      </c>
      <c r="H15" s="4">
        <v>7</v>
      </c>
      <c r="I15" s="4">
        <v>7</v>
      </c>
      <c r="J15" s="4"/>
      <c r="K15" s="5">
        <f t="shared" si="1"/>
        <v>14</v>
      </c>
      <c r="M15" s="3" t="s">
        <v>23</v>
      </c>
      <c r="N15" s="4">
        <v>17</v>
      </c>
      <c r="O15" s="4">
        <v>12</v>
      </c>
      <c r="P15" s="5"/>
      <c r="Q15" s="5">
        <f t="shared" si="2"/>
        <v>29</v>
      </c>
    </row>
    <row r="16" spans="2:17" x14ac:dyDescent="0.25">
      <c r="B16" s="3" t="s">
        <v>24</v>
      </c>
      <c r="C16" s="4">
        <v>1969</v>
      </c>
      <c r="D16" s="4">
        <v>1952</v>
      </c>
      <c r="E16" s="5">
        <f t="shared" si="0"/>
        <v>3921</v>
      </c>
      <c r="G16" s="3" t="s">
        <v>24</v>
      </c>
      <c r="H16" s="4">
        <v>8</v>
      </c>
      <c r="I16" s="4">
        <v>3</v>
      </c>
      <c r="J16" s="4"/>
      <c r="K16" s="5">
        <f t="shared" si="1"/>
        <v>11</v>
      </c>
      <c r="M16" s="3" t="s">
        <v>25</v>
      </c>
      <c r="N16" s="4"/>
      <c r="O16" s="4">
        <v>1</v>
      </c>
      <c r="P16" s="5"/>
      <c r="Q16" s="5">
        <f t="shared" si="2"/>
        <v>1</v>
      </c>
    </row>
    <row r="17" spans="2:17" x14ac:dyDescent="0.25">
      <c r="B17" s="3" t="s">
        <v>26</v>
      </c>
      <c r="C17" s="4">
        <v>1851</v>
      </c>
      <c r="D17" s="4">
        <v>1859</v>
      </c>
      <c r="E17" s="5">
        <f t="shared" si="0"/>
        <v>3710</v>
      </c>
      <c r="G17" s="3" t="s">
        <v>26</v>
      </c>
      <c r="H17" s="4">
        <v>9</v>
      </c>
      <c r="I17" s="4">
        <v>7</v>
      </c>
      <c r="J17" s="4"/>
      <c r="K17" s="5">
        <f t="shared" si="1"/>
        <v>16</v>
      </c>
      <c r="M17" s="3" t="s">
        <v>27</v>
      </c>
      <c r="N17" s="4"/>
      <c r="O17" s="4"/>
      <c r="P17" s="5"/>
      <c r="Q17" s="5">
        <f t="shared" si="2"/>
        <v>0</v>
      </c>
    </row>
    <row r="18" spans="2:17" x14ac:dyDescent="0.25">
      <c r="B18" s="3" t="s">
        <v>28</v>
      </c>
      <c r="C18" s="4">
        <v>1706</v>
      </c>
      <c r="D18" s="4">
        <v>1734</v>
      </c>
      <c r="E18" s="5">
        <f t="shared" si="0"/>
        <v>3440</v>
      </c>
      <c r="G18" s="3" t="s">
        <v>28</v>
      </c>
      <c r="H18" s="4">
        <v>8</v>
      </c>
      <c r="I18" s="4">
        <v>6</v>
      </c>
      <c r="J18" s="4"/>
      <c r="K18" s="5">
        <f t="shared" si="1"/>
        <v>14</v>
      </c>
      <c r="M18" s="6" t="s">
        <v>29</v>
      </c>
      <c r="N18" s="7"/>
      <c r="O18" s="7"/>
      <c r="P18" s="8"/>
      <c r="Q18" s="8">
        <f t="shared" si="2"/>
        <v>0</v>
      </c>
    </row>
    <row r="19" spans="2:17" x14ac:dyDescent="0.25">
      <c r="B19" s="3" t="s">
        <v>30</v>
      </c>
      <c r="C19" s="4">
        <v>1467</v>
      </c>
      <c r="D19" s="4">
        <v>1619</v>
      </c>
      <c r="E19" s="5">
        <f t="shared" si="0"/>
        <v>3086</v>
      </c>
      <c r="G19" s="3" t="s">
        <v>30</v>
      </c>
      <c r="H19" s="4">
        <v>20</v>
      </c>
      <c r="I19" s="4">
        <v>11</v>
      </c>
      <c r="J19" s="4"/>
      <c r="K19" s="5">
        <f t="shared" si="1"/>
        <v>31</v>
      </c>
      <c r="M19" s="9" t="s">
        <v>31</v>
      </c>
      <c r="N19" t="s">
        <v>47</v>
      </c>
    </row>
    <row r="20" spans="2:17" x14ac:dyDescent="0.25">
      <c r="B20" s="3" t="s">
        <v>33</v>
      </c>
      <c r="C20" s="4">
        <v>1300</v>
      </c>
      <c r="D20" s="4">
        <v>1418</v>
      </c>
      <c r="E20" s="5">
        <f t="shared" si="0"/>
        <v>2718</v>
      </c>
      <c r="G20" s="3" t="s">
        <v>33</v>
      </c>
      <c r="H20" s="4">
        <v>20</v>
      </c>
      <c r="I20" s="4">
        <v>13</v>
      </c>
      <c r="J20" s="4"/>
      <c r="K20" s="5">
        <f t="shared" si="1"/>
        <v>33</v>
      </c>
      <c r="M20" s="9" t="s">
        <v>34</v>
      </c>
    </row>
    <row r="21" spans="2:17" x14ac:dyDescent="0.25">
      <c r="B21" s="3" t="s">
        <v>36</v>
      </c>
      <c r="C21" s="4">
        <v>1126</v>
      </c>
      <c r="D21" s="4">
        <v>1177</v>
      </c>
      <c r="E21" s="5">
        <f t="shared" si="0"/>
        <v>2303</v>
      </c>
      <c r="G21" s="3" t="s">
        <v>36</v>
      </c>
      <c r="H21" s="4">
        <v>24</v>
      </c>
      <c r="I21" s="4">
        <v>23</v>
      </c>
      <c r="J21" s="4"/>
      <c r="K21" s="5">
        <f t="shared" si="1"/>
        <v>47</v>
      </c>
    </row>
    <row r="22" spans="2:17" x14ac:dyDescent="0.25">
      <c r="B22" s="3" t="s">
        <v>37</v>
      </c>
      <c r="C22" s="4">
        <v>848</v>
      </c>
      <c r="D22" s="4">
        <v>934</v>
      </c>
      <c r="E22" s="5">
        <f t="shared" si="0"/>
        <v>1782</v>
      </c>
      <c r="G22" s="3" t="s">
        <v>37</v>
      </c>
      <c r="H22" s="4">
        <v>25</v>
      </c>
      <c r="I22" s="4">
        <v>20</v>
      </c>
      <c r="J22" s="4"/>
      <c r="K22" s="5">
        <f t="shared" si="1"/>
        <v>45</v>
      </c>
    </row>
    <row r="23" spans="2:17" x14ac:dyDescent="0.25">
      <c r="B23" s="3" t="s">
        <v>38</v>
      </c>
      <c r="C23" s="4">
        <v>661</v>
      </c>
      <c r="D23" s="4">
        <v>694</v>
      </c>
      <c r="E23" s="5">
        <f t="shared" si="0"/>
        <v>1355</v>
      </c>
      <c r="G23" s="3" t="s">
        <v>38</v>
      </c>
      <c r="H23" s="4">
        <v>25</v>
      </c>
      <c r="I23" s="4">
        <v>15</v>
      </c>
      <c r="J23" s="4"/>
      <c r="K23" s="5">
        <f t="shared" si="1"/>
        <v>40</v>
      </c>
    </row>
    <row r="24" spans="2:17" x14ac:dyDescent="0.25">
      <c r="B24" s="3" t="s">
        <v>39</v>
      </c>
      <c r="C24" s="4">
        <v>428</v>
      </c>
      <c r="D24" s="4">
        <v>459</v>
      </c>
      <c r="E24" s="5">
        <f t="shared" si="0"/>
        <v>887</v>
      </c>
      <c r="G24" s="3" t="s">
        <v>39</v>
      </c>
      <c r="H24" s="4">
        <v>32</v>
      </c>
      <c r="I24" s="4">
        <v>17</v>
      </c>
      <c r="J24" s="4"/>
      <c r="K24" s="5">
        <f t="shared" si="1"/>
        <v>49</v>
      </c>
    </row>
    <row r="25" spans="2:17" x14ac:dyDescent="0.25">
      <c r="B25" s="3" t="s">
        <v>40</v>
      </c>
      <c r="C25" s="4">
        <v>273</v>
      </c>
      <c r="D25" s="4">
        <v>318</v>
      </c>
      <c r="E25" s="5">
        <f t="shared" si="0"/>
        <v>591</v>
      </c>
      <c r="G25" s="3" t="s">
        <v>40</v>
      </c>
      <c r="H25" s="4">
        <v>22</v>
      </c>
      <c r="I25" s="4">
        <v>16</v>
      </c>
      <c r="J25" s="4"/>
      <c r="K25" s="5">
        <f t="shared" si="1"/>
        <v>38</v>
      </c>
    </row>
    <row r="26" spans="2:17" x14ac:dyDescent="0.25">
      <c r="B26" s="3" t="s">
        <v>41</v>
      </c>
      <c r="C26" s="4">
        <v>272</v>
      </c>
      <c r="D26" s="4">
        <v>354</v>
      </c>
      <c r="E26" s="5">
        <f t="shared" si="0"/>
        <v>626</v>
      </c>
      <c r="G26" s="3" t="s">
        <v>41</v>
      </c>
      <c r="H26" s="4">
        <v>30</v>
      </c>
      <c r="I26" s="4">
        <v>55</v>
      </c>
      <c r="J26" s="4"/>
      <c r="K26" s="5">
        <f t="shared" si="1"/>
        <v>85</v>
      </c>
    </row>
    <row r="27" spans="2:17" x14ac:dyDescent="0.25">
      <c r="B27" s="6" t="s">
        <v>29</v>
      </c>
      <c r="C27" s="7"/>
      <c r="D27" s="7"/>
      <c r="E27" s="8">
        <f t="shared" si="0"/>
        <v>0</v>
      </c>
      <c r="G27" s="6" t="s">
        <v>29</v>
      </c>
      <c r="H27" s="7"/>
      <c r="I27" s="7"/>
      <c r="J27" s="7"/>
      <c r="K27" s="8">
        <f t="shared" si="1"/>
        <v>0</v>
      </c>
    </row>
    <row r="28" spans="2:17" x14ac:dyDescent="0.25">
      <c r="B28" s="9" t="s">
        <v>42</v>
      </c>
      <c r="C28" t="s">
        <v>47</v>
      </c>
      <c r="G28" s="9" t="s">
        <v>31</v>
      </c>
      <c r="H28" t="s">
        <v>47</v>
      </c>
    </row>
    <row r="29" spans="2:17" x14ac:dyDescent="0.25">
      <c r="B29" s="9" t="s">
        <v>34</v>
      </c>
      <c r="G29" s="9" t="s">
        <v>34</v>
      </c>
    </row>
    <row r="31" spans="2:17" ht="12.9" customHeight="1" x14ac:dyDescent="0.25">
      <c r="B31" s="13" t="s">
        <v>0</v>
      </c>
      <c r="C31" s="13"/>
      <c r="D31" s="13"/>
      <c r="E31" s="13"/>
      <c r="G31" s="13" t="s">
        <v>1</v>
      </c>
      <c r="H31" s="13"/>
      <c r="I31" s="13"/>
      <c r="J31" s="13"/>
      <c r="K31" s="13"/>
      <c r="M31" s="13" t="s">
        <v>2</v>
      </c>
      <c r="N31" s="13"/>
      <c r="O31" s="13"/>
      <c r="P31" s="13"/>
      <c r="Q31" s="13"/>
    </row>
    <row r="32" spans="2:17" x14ac:dyDescent="0.25">
      <c r="B32" s="13"/>
      <c r="C32" s="13"/>
      <c r="D32" s="13"/>
      <c r="E32" s="13"/>
      <c r="G32" s="13"/>
      <c r="H32" s="13"/>
      <c r="I32" s="13"/>
      <c r="J32" s="13"/>
      <c r="K32" s="13"/>
      <c r="M32" s="13"/>
      <c r="N32" s="13"/>
      <c r="O32" s="13"/>
      <c r="P32" s="13"/>
      <c r="Q32" s="13"/>
    </row>
    <row r="33" spans="2:17" ht="12.9" customHeight="1" x14ac:dyDescent="0.25">
      <c r="B33" s="14" t="s">
        <v>48</v>
      </c>
      <c r="C33" s="14"/>
      <c r="D33" s="14"/>
      <c r="E33" s="14"/>
      <c r="G33" s="14" t="s">
        <v>48</v>
      </c>
      <c r="H33" s="14"/>
      <c r="I33" s="14"/>
      <c r="J33" s="14"/>
      <c r="K33" s="14"/>
      <c r="M33" s="14" t="s">
        <v>48</v>
      </c>
      <c r="N33" s="14"/>
      <c r="O33" s="14"/>
      <c r="P33" s="14"/>
      <c r="Q33" s="14"/>
    </row>
    <row r="34" spans="2:17" ht="12.9" customHeight="1" x14ac:dyDescent="0.25">
      <c r="B34" s="14"/>
      <c r="C34" s="14"/>
      <c r="D34" s="14"/>
      <c r="E34" s="14"/>
      <c r="G34" s="14"/>
      <c r="H34" s="14"/>
      <c r="I34" s="14"/>
      <c r="J34" s="14"/>
      <c r="K34" s="14"/>
      <c r="M34" s="14"/>
      <c r="N34" s="14"/>
      <c r="O34" s="14"/>
      <c r="P34" s="14"/>
      <c r="Q34" s="14"/>
    </row>
    <row r="35" spans="2:17" ht="12.9" customHeight="1" x14ac:dyDescent="0.25">
      <c r="B35" s="15" t="s">
        <v>4</v>
      </c>
      <c r="C35" s="12" t="s">
        <v>5</v>
      </c>
      <c r="D35" s="12" t="s">
        <v>6</v>
      </c>
      <c r="E35" s="16" t="s">
        <v>7</v>
      </c>
      <c r="G35" s="15" t="s">
        <v>4</v>
      </c>
      <c r="H35" s="12" t="s">
        <v>5</v>
      </c>
      <c r="I35" s="12" t="s">
        <v>6</v>
      </c>
      <c r="J35" s="17" t="s">
        <v>8</v>
      </c>
      <c r="K35" s="16" t="s">
        <v>7</v>
      </c>
      <c r="M35" s="15" t="s">
        <v>9</v>
      </c>
      <c r="N35" s="12" t="s">
        <v>5</v>
      </c>
      <c r="O35" s="12" t="s">
        <v>6</v>
      </c>
      <c r="P35" s="17" t="s">
        <v>8</v>
      </c>
      <c r="Q35" s="16" t="s">
        <v>7</v>
      </c>
    </row>
    <row r="36" spans="2:17" x14ac:dyDescent="0.25">
      <c r="B36" s="15"/>
      <c r="C36" s="12"/>
      <c r="D36" s="12"/>
      <c r="E36" s="16"/>
      <c r="G36" s="15"/>
      <c r="H36" s="12"/>
      <c r="I36" s="12"/>
      <c r="J36" s="17"/>
      <c r="K36" s="17"/>
      <c r="M36" s="15"/>
      <c r="N36" s="12"/>
      <c r="O36" s="12"/>
      <c r="P36" s="17"/>
      <c r="Q36" s="17"/>
    </row>
    <row r="37" spans="2:17" x14ac:dyDescent="0.25">
      <c r="B37" s="1" t="s">
        <v>7</v>
      </c>
      <c r="C37" s="2">
        <f>SUM(C38:C56)</f>
        <v>22048</v>
      </c>
      <c r="D37" s="2">
        <f>SUM(D38:D56)</f>
        <v>22483</v>
      </c>
      <c r="E37" s="2">
        <f>SUM(E38:E56)</f>
        <v>44531</v>
      </c>
      <c r="G37" s="1" t="s">
        <v>7</v>
      </c>
      <c r="H37" s="2">
        <f>SUM(H38:H56)</f>
        <v>143</v>
      </c>
      <c r="I37" s="2">
        <f>SUM(I38:I56)</f>
        <v>119</v>
      </c>
      <c r="J37" s="2">
        <f>SUM(J38:J56)</f>
        <v>0</v>
      </c>
      <c r="K37" s="2">
        <f>SUM(K38:K56)</f>
        <v>262</v>
      </c>
      <c r="M37" s="1" t="s">
        <v>7</v>
      </c>
      <c r="N37" s="2">
        <f>SUM(N38:N47)</f>
        <v>376</v>
      </c>
      <c r="O37" s="2">
        <f>SUM(O38:O47)</f>
        <v>428</v>
      </c>
      <c r="P37" s="2">
        <f>SUM(P38:P47)</f>
        <v>0</v>
      </c>
      <c r="Q37" s="2">
        <f>SUM(Q38:Q47)</f>
        <v>804</v>
      </c>
    </row>
    <row r="38" spans="2:17" x14ac:dyDescent="0.25">
      <c r="B38" s="3" t="s">
        <v>10</v>
      </c>
      <c r="C38" s="4">
        <v>424</v>
      </c>
      <c r="D38" s="4">
        <v>426</v>
      </c>
      <c r="E38" s="5">
        <f t="shared" ref="E38:E56" si="3">SUM(C38:D38)</f>
        <v>850</v>
      </c>
      <c r="G38" s="3" t="s">
        <v>10</v>
      </c>
      <c r="H38" s="4">
        <v>6</v>
      </c>
      <c r="I38" s="4">
        <v>3</v>
      </c>
      <c r="J38" s="4"/>
      <c r="K38" s="5">
        <f t="shared" ref="K38:K56" si="4">SUM(H38:J38)</f>
        <v>9</v>
      </c>
      <c r="M38" s="3" t="s">
        <v>11</v>
      </c>
      <c r="N38" s="4">
        <v>5</v>
      </c>
      <c r="O38" s="4">
        <v>7</v>
      </c>
      <c r="P38" s="5"/>
      <c r="Q38" s="5">
        <f t="shared" ref="Q38:Q47" si="5">SUM(N38:P38)</f>
        <v>12</v>
      </c>
    </row>
    <row r="39" spans="2:17" x14ac:dyDescent="0.25">
      <c r="B39" s="3" t="s">
        <v>12</v>
      </c>
      <c r="C39" s="4">
        <v>1749</v>
      </c>
      <c r="D39" s="4">
        <v>1674</v>
      </c>
      <c r="E39" s="5">
        <f t="shared" si="3"/>
        <v>3423</v>
      </c>
      <c r="G39" s="3" t="s">
        <v>12</v>
      </c>
      <c r="H39" s="4">
        <v>1</v>
      </c>
      <c r="I39" s="4">
        <v>1</v>
      </c>
      <c r="J39" s="4"/>
      <c r="K39" s="5">
        <f t="shared" si="4"/>
        <v>2</v>
      </c>
      <c r="M39" s="3" t="s">
        <v>13</v>
      </c>
      <c r="N39" s="4">
        <v>102</v>
      </c>
      <c r="O39" s="4">
        <v>122</v>
      </c>
      <c r="P39" s="5"/>
      <c r="Q39" s="5">
        <f t="shared" si="5"/>
        <v>224</v>
      </c>
    </row>
    <row r="40" spans="2:17" x14ac:dyDescent="0.25">
      <c r="B40" s="3" t="s">
        <v>14</v>
      </c>
      <c r="C40" s="4">
        <v>2298</v>
      </c>
      <c r="D40" s="4">
        <v>2156</v>
      </c>
      <c r="E40" s="5">
        <f t="shared" si="3"/>
        <v>4454</v>
      </c>
      <c r="G40" s="3" t="s">
        <v>14</v>
      </c>
      <c r="H40" s="4"/>
      <c r="I40" s="4"/>
      <c r="J40" s="4"/>
      <c r="K40" s="5">
        <f t="shared" si="4"/>
        <v>0</v>
      </c>
      <c r="M40" s="3" t="s">
        <v>15</v>
      </c>
      <c r="N40" s="4">
        <v>115</v>
      </c>
      <c r="O40" s="4">
        <v>117</v>
      </c>
      <c r="P40" s="5"/>
      <c r="Q40" s="5">
        <f t="shared" si="5"/>
        <v>232</v>
      </c>
    </row>
    <row r="41" spans="2:17" x14ac:dyDescent="0.25">
      <c r="B41" s="3" t="s">
        <v>16</v>
      </c>
      <c r="C41" s="4">
        <v>2419</v>
      </c>
      <c r="D41" s="4">
        <v>2384</v>
      </c>
      <c r="E41" s="5">
        <f t="shared" si="3"/>
        <v>4803</v>
      </c>
      <c r="G41" s="3" t="s">
        <v>16</v>
      </c>
      <c r="H41" s="4">
        <v>1</v>
      </c>
      <c r="I41" s="4">
        <v>1</v>
      </c>
      <c r="J41" s="4"/>
      <c r="K41" s="5">
        <f t="shared" si="4"/>
        <v>2</v>
      </c>
      <c r="M41" s="3" t="s">
        <v>17</v>
      </c>
      <c r="N41" s="4">
        <v>81</v>
      </c>
      <c r="O41" s="4">
        <v>78</v>
      </c>
      <c r="P41" s="5"/>
      <c r="Q41" s="5">
        <f t="shared" si="5"/>
        <v>159</v>
      </c>
    </row>
    <row r="42" spans="2:17" x14ac:dyDescent="0.25">
      <c r="B42" s="3" t="s">
        <v>18</v>
      </c>
      <c r="C42" s="4">
        <v>2245</v>
      </c>
      <c r="D42" s="4">
        <v>2204</v>
      </c>
      <c r="E42" s="5">
        <f t="shared" si="3"/>
        <v>4449</v>
      </c>
      <c r="G42" s="3" t="s">
        <v>18</v>
      </c>
      <c r="H42" s="4">
        <v>2</v>
      </c>
      <c r="I42" s="4">
        <v>1</v>
      </c>
      <c r="J42" s="4"/>
      <c r="K42" s="5">
        <f t="shared" si="4"/>
        <v>3</v>
      </c>
      <c r="M42" s="3" t="s">
        <v>19</v>
      </c>
      <c r="N42" s="4">
        <v>41</v>
      </c>
      <c r="O42" s="4">
        <v>65</v>
      </c>
      <c r="P42" s="5"/>
      <c r="Q42" s="5">
        <f t="shared" si="5"/>
        <v>106</v>
      </c>
    </row>
    <row r="43" spans="2:17" x14ac:dyDescent="0.25">
      <c r="B43" s="3" t="s">
        <v>20</v>
      </c>
      <c r="C43" s="4">
        <v>1962</v>
      </c>
      <c r="D43" s="4">
        <v>1931</v>
      </c>
      <c r="E43" s="5">
        <f t="shared" si="3"/>
        <v>3893</v>
      </c>
      <c r="G43" s="3" t="s">
        <v>20</v>
      </c>
      <c r="H43" s="4">
        <v>8</v>
      </c>
      <c r="I43" s="4">
        <v>1</v>
      </c>
      <c r="J43" s="4"/>
      <c r="K43" s="5">
        <f t="shared" si="4"/>
        <v>9</v>
      </c>
      <c r="M43" s="3" t="s">
        <v>21</v>
      </c>
      <c r="N43" s="4">
        <v>27</v>
      </c>
      <c r="O43" s="4">
        <v>29</v>
      </c>
      <c r="P43" s="5"/>
      <c r="Q43" s="5">
        <f t="shared" si="5"/>
        <v>56</v>
      </c>
    </row>
    <row r="44" spans="2:17" x14ac:dyDescent="0.25">
      <c r="B44" s="3" t="s">
        <v>22</v>
      </c>
      <c r="C44" s="4">
        <v>1829</v>
      </c>
      <c r="D44" s="4">
        <v>1857</v>
      </c>
      <c r="E44" s="5">
        <f t="shared" si="3"/>
        <v>3686</v>
      </c>
      <c r="G44" s="3" t="s">
        <v>22</v>
      </c>
      <c r="H44" s="4">
        <v>4</v>
      </c>
      <c r="I44" s="4">
        <v>2</v>
      </c>
      <c r="J44" s="4"/>
      <c r="K44" s="5">
        <f t="shared" si="4"/>
        <v>6</v>
      </c>
      <c r="M44" s="3" t="s">
        <v>23</v>
      </c>
      <c r="N44" s="4">
        <v>4</v>
      </c>
      <c r="O44" s="4">
        <v>10</v>
      </c>
      <c r="P44" s="5"/>
      <c r="Q44" s="5">
        <f t="shared" si="5"/>
        <v>14</v>
      </c>
    </row>
    <row r="45" spans="2:17" x14ac:dyDescent="0.25">
      <c r="B45" s="3" t="s">
        <v>24</v>
      </c>
      <c r="C45" s="4">
        <v>1699</v>
      </c>
      <c r="D45" s="4">
        <v>1775</v>
      </c>
      <c r="E45" s="5">
        <f t="shared" si="3"/>
        <v>3474</v>
      </c>
      <c r="G45" s="3" t="s">
        <v>24</v>
      </c>
      <c r="H45" s="4">
        <v>6</v>
      </c>
      <c r="I45" s="4">
        <v>3</v>
      </c>
      <c r="J45" s="4"/>
      <c r="K45" s="5">
        <f t="shared" si="4"/>
        <v>9</v>
      </c>
      <c r="M45" s="3" t="s">
        <v>25</v>
      </c>
      <c r="N45" s="4">
        <v>1</v>
      </c>
      <c r="O45" s="4"/>
      <c r="P45" s="5"/>
      <c r="Q45" s="5">
        <f t="shared" si="5"/>
        <v>1</v>
      </c>
    </row>
    <row r="46" spans="2:17" x14ac:dyDescent="0.25">
      <c r="B46" s="3" t="s">
        <v>26</v>
      </c>
      <c r="C46" s="4">
        <v>1519</v>
      </c>
      <c r="D46" s="4">
        <v>1671</v>
      </c>
      <c r="E46" s="5">
        <f t="shared" si="3"/>
        <v>3190</v>
      </c>
      <c r="G46" s="3" t="s">
        <v>26</v>
      </c>
      <c r="H46" s="4">
        <v>4</v>
      </c>
      <c r="I46" s="4">
        <v>1</v>
      </c>
      <c r="J46" s="4"/>
      <c r="K46" s="5">
        <f t="shared" si="4"/>
        <v>5</v>
      </c>
      <c r="M46" s="3" t="s">
        <v>27</v>
      </c>
      <c r="N46" s="4"/>
      <c r="O46" s="4"/>
      <c r="P46" s="5"/>
      <c r="Q46" s="5">
        <f t="shared" si="5"/>
        <v>0</v>
      </c>
    </row>
    <row r="47" spans="2:17" x14ac:dyDescent="0.25">
      <c r="B47" s="3" t="s">
        <v>28</v>
      </c>
      <c r="C47" s="4">
        <v>1395</v>
      </c>
      <c r="D47" s="4">
        <v>1454</v>
      </c>
      <c r="E47" s="5">
        <f t="shared" si="3"/>
        <v>2849</v>
      </c>
      <c r="G47" s="3" t="s">
        <v>28</v>
      </c>
      <c r="H47" s="4">
        <v>7</v>
      </c>
      <c r="I47" s="4">
        <v>3</v>
      </c>
      <c r="J47" s="4"/>
      <c r="K47" s="5">
        <f t="shared" si="4"/>
        <v>10</v>
      </c>
      <c r="M47" s="6" t="s">
        <v>29</v>
      </c>
      <c r="N47" s="7"/>
      <c r="O47" s="7"/>
      <c r="P47" s="8"/>
      <c r="Q47" s="8">
        <f t="shared" si="5"/>
        <v>0</v>
      </c>
    </row>
    <row r="48" spans="2:17" x14ac:dyDescent="0.25">
      <c r="B48" s="3" t="s">
        <v>30</v>
      </c>
      <c r="C48" s="4">
        <v>1217</v>
      </c>
      <c r="D48" s="4">
        <v>1241</v>
      </c>
      <c r="E48" s="5">
        <f t="shared" si="3"/>
        <v>2458</v>
      </c>
      <c r="G48" s="3" t="s">
        <v>30</v>
      </c>
      <c r="H48" s="4">
        <v>9</v>
      </c>
      <c r="I48" s="4">
        <v>9</v>
      </c>
      <c r="J48" s="4"/>
      <c r="K48" s="5">
        <f t="shared" si="4"/>
        <v>18</v>
      </c>
      <c r="M48" s="9" t="s">
        <v>31</v>
      </c>
      <c r="N48" t="s">
        <v>49</v>
      </c>
    </row>
    <row r="49" spans="2:13" x14ac:dyDescent="0.25">
      <c r="B49" s="3" t="s">
        <v>33</v>
      </c>
      <c r="C49" s="4">
        <v>920</v>
      </c>
      <c r="D49" s="4">
        <v>1030</v>
      </c>
      <c r="E49" s="5">
        <f t="shared" si="3"/>
        <v>1950</v>
      </c>
      <c r="G49" s="3" t="s">
        <v>33</v>
      </c>
      <c r="H49" s="4">
        <v>13</v>
      </c>
      <c r="I49" s="4">
        <v>7</v>
      </c>
      <c r="J49" s="4"/>
      <c r="K49" s="5">
        <f t="shared" si="4"/>
        <v>20</v>
      </c>
      <c r="M49" s="9" t="s">
        <v>34</v>
      </c>
    </row>
    <row r="50" spans="2:13" x14ac:dyDescent="0.25">
      <c r="B50" s="3" t="s">
        <v>36</v>
      </c>
      <c r="C50" s="4">
        <v>773</v>
      </c>
      <c r="D50" s="4">
        <v>834</v>
      </c>
      <c r="E50" s="5">
        <f t="shared" si="3"/>
        <v>1607</v>
      </c>
      <c r="G50" s="3" t="s">
        <v>36</v>
      </c>
      <c r="H50" s="4">
        <v>7</v>
      </c>
      <c r="I50" s="4">
        <v>10</v>
      </c>
      <c r="J50" s="4"/>
      <c r="K50" s="5">
        <f t="shared" si="4"/>
        <v>17</v>
      </c>
    </row>
    <row r="51" spans="2:13" x14ac:dyDescent="0.25">
      <c r="B51" s="3" t="s">
        <v>37</v>
      </c>
      <c r="C51" s="4">
        <v>563</v>
      </c>
      <c r="D51" s="4">
        <v>610</v>
      </c>
      <c r="E51" s="5">
        <f t="shared" si="3"/>
        <v>1173</v>
      </c>
      <c r="G51" s="3" t="s">
        <v>37</v>
      </c>
      <c r="H51" s="4">
        <v>12</v>
      </c>
      <c r="I51" s="4">
        <v>9</v>
      </c>
      <c r="J51" s="4"/>
      <c r="K51" s="5">
        <f t="shared" si="4"/>
        <v>21</v>
      </c>
    </row>
    <row r="52" spans="2:13" x14ac:dyDescent="0.25">
      <c r="B52" s="3" t="s">
        <v>38</v>
      </c>
      <c r="C52" s="4">
        <v>408</v>
      </c>
      <c r="D52" s="4">
        <v>460</v>
      </c>
      <c r="E52" s="5">
        <f t="shared" si="3"/>
        <v>868</v>
      </c>
      <c r="G52" s="3" t="s">
        <v>38</v>
      </c>
      <c r="H52" s="4">
        <v>16</v>
      </c>
      <c r="I52" s="4">
        <v>10</v>
      </c>
      <c r="J52" s="4"/>
      <c r="K52" s="5">
        <f t="shared" si="4"/>
        <v>26</v>
      </c>
    </row>
    <row r="53" spans="2:13" x14ac:dyDescent="0.25">
      <c r="B53" s="3" t="s">
        <v>39</v>
      </c>
      <c r="C53" s="4">
        <v>287</v>
      </c>
      <c r="D53" s="4">
        <v>312</v>
      </c>
      <c r="E53" s="5">
        <f t="shared" si="3"/>
        <v>599</v>
      </c>
      <c r="G53" s="3" t="s">
        <v>39</v>
      </c>
      <c r="H53" s="4">
        <v>18</v>
      </c>
      <c r="I53" s="4">
        <v>10</v>
      </c>
      <c r="J53" s="4"/>
      <c r="K53" s="5">
        <f t="shared" si="4"/>
        <v>28</v>
      </c>
    </row>
    <row r="54" spans="2:13" x14ac:dyDescent="0.25">
      <c r="B54" s="3" t="s">
        <v>40</v>
      </c>
      <c r="C54" s="4">
        <v>178</v>
      </c>
      <c r="D54" s="4">
        <v>214</v>
      </c>
      <c r="E54" s="5">
        <f t="shared" si="3"/>
        <v>392</v>
      </c>
      <c r="G54" s="3" t="s">
        <v>40</v>
      </c>
      <c r="H54" s="4">
        <v>12</v>
      </c>
      <c r="I54" s="4">
        <v>14</v>
      </c>
      <c r="J54" s="4"/>
      <c r="K54" s="5">
        <f t="shared" si="4"/>
        <v>26</v>
      </c>
    </row>
    <row r="55" spans="2:13" x14ac:dyDescent="0.25">
      <c r="B55" s="3" t="s">
        <v>41</v>
      </c>
      <c r="C55" s="4">
        <v>163</v>
      </c>
      <c r="D55" s="4">
        <v>250</v>
      </c>
      <c r="E55" s="5">
        <f t="shared" si="3"/>
        <v>413</v>
      </c>
      <c r="G55" s="3" t="s">
        <v>41</v>
      </c>
      <c r="H55" s="4">
        <v>17</v>
      </c>
      <c r="I55" s="4">
        <v>34</v>
      </c>
      <c r="J55" s="4"/>
      <c r="K55" s="5">
        <f t="shared" si="4"/>
        <v>51</v>
      </c>
    </row>
    <row r="56" spans="2:13" x14ac:dyDescent="0.25">
      <c r="B56" s="6" t="s">
        <v>29</v>
      </c>
      <c r="C56" s="7"/>
      <c r="D56" s="7"/>
      <c r="E56" s="8">
        <f t="shared" si="3"/>
        <v>0</v>
      </c>
      <c r="G56" s="6" t="s">
        <v>29</v>
      </c>
      <c r="H56" s="7"/>
      <c r="I56" s="7"/>
      <c r="J56" s="7"/>
      <c r="K56" s="8">
        <f t="shared" si="4"/>
        <v>0</v>
      </c>
    </row>
    <row r="57" spans="2:13" x14ac:dyDescent="0.25">
      <c r="B57" s="9" t="s">
        <v>42</v>
      </c>
      <c r="C57" t="s">
        <v>49</v>
      </c>
      <c r="G57" s="9" t="s">
        <v>31</v>
      </c>
      <c r="H57" t="s">
        <v>49</v>
      </c>
    </row>
    <row r="58" spans="2:13" x14ac:dyDescent="0.25">
      <c r="B58" s="9" t="s">
        <v>34</v>
      </c>
      <c r="G58" s="9" t="s">
        <v>34</v>
      </c>
    </row>
  </sheetData>
  <mergeCells count="40">
    <mergeCell ref="B33:E34"/>
    <mergeCell ref="G33:K34"/>
    <mergeCell ref="M33:Q34"/>
    <mergeCell ref="B35:B36"/>
    <mergeCell ref="C35:C36"/>
    <mergeCell ref="D35:D36"/>
    <mergeCell ref="E35:E36"/>
    <mergeCell ref="G35:G36"/>
    <mergeCell ref="H35:H36"/>
    <mergeCell ref="I35:I36"/>
    <mergeCell ref="J35:J36"/>
    <mergeCell ref="K35:K36"/>
    <mergeCell ref="M35:M36"/>
    <mergeCell ref="N35:N36"/>
    <mergeCell ref="O35:O36"/>
    <mergeCell ref="P35:P36"/>
    <mergeCell ref="N6:N7"/>
    <mergeCell ref="O6:O7"/>
    <mergeCell ref="P6:P7"/>
    <mergeCell ref="Q6:Q7"/>
    <mergeCell ref="Q35:Q36"/>
    <mergeCell ref="B31:E32"/>
    <mergeCell ref="G31:K32"/>
    <mergeCell ref="M31:Q32"/>
    <mergeCell ref="H6:H7"/>
    <mergeCell ref="I6:I7"/>
    <mergeCell ref="J6:J7"/>
    <mergeCell ref="K6:K7"/>
    <mergeCell ref="M6:M7"/>
    <mergeCell ref="B6:B7"/>
    <mergeCell ref="C6:C7"/>
    <mergeCell ref="D6:D7"/>
    <mergeCell ref="E6:E7"/>
    <mergeCell ref="G6:G7"/>
    <mergeCell ref="B2:E3"/>
    <mergeCell ref="G2:K3"/>
    <mergeCell ref="M2:Q3"/>
    <mergeCell ref="B4:E5"/>
    <mergeCell ref="G4:K5"/>
    <mergeCell ref="M4:Q5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País</vt:lpstr>
      <vt:lpstr>Município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TabNet Win32 2.7: Nascidos vivos - Paraná</dc:title>
  <dc:subject/>
  <dc:creator>Nivea Matuda</dc:creator>
  <cp:keywords/>
  <dc:description/>
  <cp:lastModifiedBy>Luiz Henrique Barretta Francisco</cp:lastModifiedBy>
  <cp:revision>69</cp:revision>
  <dcterms:created xsi:type="dcterms:W3CDTF">2008-09-16T18:33:31Z</dcterms:created>
  <dcterms:modified xsi:type="dcterms:W3CDTF">2023-09-04T15:37:20Z</dcterms:modified>
  <cp:category/>
  <cp:contentStatus/>
</cp:coreProperties>
</file>