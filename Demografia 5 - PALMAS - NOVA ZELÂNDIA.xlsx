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475566973\Downloads\"/>
    </mc:Choice>
  </mc:AlternateContent>
  <bookViews>
    <workbookView xWindow="0" yWindow="0" windowWidth="28800" windowHeight="11700"/>
  </bookViews>
  <sheets>
    <sheet name="Nova Zelândia" sheetId="1" r:id="rId1"/>
    <sheet name="Palma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3" l="1"/>
  <c r="F45" i="3"/>
  <c r="G45" i="3" s="1"/>
  <c r="L48" i="3" s="1"/>
  <c r="F44" i="3"/>
  <c r="G44" i="3" s="1"/>
  <c r="L47" i="3" s="1"/>
  <c r="F43" i="3"/>
  <c r="G43" i="3" s="1"/>
  <c r="L46" i="3" s="1"/>
  <c r="F42" i="3"/>
  <c r="G42" i="3" s="1"/>
  <c r="L45" i="3" s="1"/>
  <c r="F41" i="3"/>
  <c r="G41" i="3" s="1"/>
  <c r="L44" i="3" s="1"/>
  <c r="F40" i="3"/>
  <c r="G40" i="3" s="1"/>
  <c r="L43" i="3" s="1"/>
  <c r="F39" i="3"/>
  <c r="G39" i="3" s="1"/>
  <c r="L42" i="3" s="1"/>
  <c r="F38" i="3"/>
  <c r="G38" i="3" s="1"/>
  <c r="L41" i="3" s="1"/>
  <c r="F37" i="3"/>
  <c r="G37" i="3" s="1"/>
  <c r="L40" i="3" s="1"/>
  <c r="F36" i="3"/>
  <c r="G36" i="3" s="1"/>
  <c r="L39" i="3" s="1"/>
  <c r="F35" i="3"/>
  <c r="G35" i="3" s="1"/>
  <c r="L38" i="3" s="1"/>
  <c r="F34" i="3"/>
  <c r="G34" i="3" s="1"/>
  <c r="L37" i="3" s="1"/>
  <c r="F33" i="3"/>
  <c r="G33" i="3" s="1"/>
  <c r="L36" i="3" s="1"/>
  <c r="F32" i="3"/>
  <c r="G32" i="3" s="1"/>
  <c r="L35" i="3" s="1"/>
  <c r="F31" i="3"/>
  <c r="G31" i="3" s="1"/>
  <c r="L34" i="3" s="1"/>
  <c r="F30" i="3"/>
  <c r="G30" i="3" s="1"/>
  <c r="L33" i="3" s="1"/>
  <c r="F29" i="3"/>
  <c r="G29" i="3" s="1"/>
  <c r="L32" i="3" s="1"/>
  <c r="N32" i="3" s="1"/>
  <c r="M33" i="3" s="1"/>
  <c r="O23" i="3"/>
  <c r="J23" i="3"/>
  <c r="F23" i="3"/>
  <c r="E23" i="3"/>
  <c r="C23" i="3"/>
  <c r="P22" i="3"/>
  <c r="L22" i="3"/>
  <c r="P21" i="3"/>
  <c r="L21" i="3"/>
  <c r="P20" i="3"/>
  <c r="L20" i="3"/>
  <c r="P19" i="3"/>
  <c r="L19" i="3"/>
  <c r="P18" i="3"/>
  <c r="L18" i="3"/>
  <c r="P17" i="3"/>
  <c r="L17" i="3"/>
  <c r="P16" i="3"/>
  <c r="L16" i="3"/>
  <c r="P15" i="3"/>
  <c r="L15" i="3"/>
  <c r="P14" i="3"/>
  <c r="L14" i="3"/>
  <c r="P13" i="3"/>
  <c r="L13" i="3"/>
  <c r="P12" i="3"/>
  <c r="L12" i="3"/>
  <c r="P11" i="3"/>
  <c r="L11" i="3"/>
  <c r="P10" i="3"/>
  <c r="L10" i="3"/>
  <c r="P9" i="3"/>
  <c r="L9" i="3"/>
  <c r="P8" i="3"/>
  <c r="L8" i="3"/>
  <c r="P7" i="3"/>
  <c r="L7" i="3"/>
  <c r="P6" i="3"/>
  <c r="L6" i="3"/>
  <c r="P5" i="3"/>
  <c r="P23" i="3" s="1"/>
  <c r="L5" i="3"/>
  <c r="R4" i="3" l="1"/>
  <c r="O24" i="3" s="1"/>
  <c r="L23" i="3"/>
  <c r="K24" i="3" s="1"/>
  <c r="O32" i="3"/>
  <c r="N33" i="3"/>
  <c r="M34" i="3" s="1"/>
  <c r="O33" i="3" l="1"/>
  <c r="N34" i="3"/>
  <c r="M35" i="3" s="1"/>
  <c r="O34" i="3" l="1"/>
  <c r="N35" i="3"/>
  <c r="M36" i="3" s="1"/>
  <c r="O35" i="3" l="1"/>
  <c r="N36" i="3"/>
  <c r="M37" i="3" s="1"/>
  <c r="O36" i="3" l="1"/>
  <c r="N37" i="3"/>
  <c r="M38" i="3" s="1"/>
  <c r="F23" i="1"/>
  <c r="P5" i="1"/>
  <c r="O23" i="1"/>
  <c r="O37" i="3" l="1"/>
  <c r="N38" i="3"/>
  <c r="M39" i="3" s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J23" i="1"/>
  <c r="E23" i="1"/>
  <c r="C23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5" i="1"/>
  <c r="L23" i="1" s="1"/>
  <c r="K24" i="1" s="1"/>
  <c r="O38" i="3" l="1"/>
  <c r="N39" i="3"/>
  <c r="M40" i="3" s="1"/>
  <c r="P23" i="1"/>
  <c r="R4" i="1" s="1"/>
  <c r="O24" i="1" s="1"/>
  <c r="O39" i="3" l="1"/>
  <c r="N40" i="3"/>
  <c r="M41" i="3" s="1"/>
  <c r="F46" i="1"/>
  <c r="O40" i="3" l="1"/>
  <c r="N41" i="3"/>
  <c r="M42" i="3" s="1"/>
  <c r="F30" i="1"/>
  <c r="G30" i="1" s="1"/>
  <c r="L33" i="1" s="1"/>
  <c r="F31" i="1"/>
  <c r="G31" i="1" s="1"/>
  <c r="L34" i="1" s="1"/>
  <c r="F32" i="1"/>
  <c r="G32" i="1" s="1"/>
  <c r="L35" i="1" s="1"/>
  <c r="F33" i="1"/>
  <c r="G33" i="1" s="1"/>
  <c r="L36" i="1" s="1"/>
  <c r="F34" i="1"/>
  <c r="G34" i="1" s="1"/>
  <c r="L37" i="1" s="1"/>
  <c r="F35" i="1"/>
  <c r="G35" i="1" s="1"/>
  <c r="L38" i="1" s="1"/>
  <c r="F36" i="1"/>
  <c r="G36" i="1" s="1"/>
  <c r="L39" i="1" s="1"/>
  <c r="F37" i="1"/>
  <c r="G37" i="1" s="1"/>
  <c r="L40" i="1" s="1"/>
  <c r="F38" i="1"/>
  <c r="G38" i="1" s="1"/>
  <c r="L41" i="1" s="1"/>
  <c r="F39" i="1"/>
  <c r="G39" i="1" s="1"/>
  <c r="L42" i="1" s="1"/>
  <c r="F40" i="1"/>
  <c r="G40" i="1" s="1"/>
  <c r="L43" i="1" s="1"/>
  <c r="F41" i="1"/>
  <c r="G41" i="1" s="1"/>
  <c r="L44" i="1" s="1"/>
  <c r="F42" i="1"/>
  <c r="G42" i="1" s="1"/>
  <c r="L45" i="1" s="1"/>
  <c r="F43" i="1"/>
  <c r="G43" i="1" s="1"/>
  <c r="L46" i="1" s="1"/>
  <c r="F44" i="1"/>
  <c r="G44" i="1" s="1"/>
  <c r="L47" i="1" s="1"/>
  <c r="F45" i="1"/>
  <c r="G45" i="1" s="1"/>
  <c r="L48" i="1" s="1"/>
  <c r="F29" i="1"/>
  <c r="G29" i="1" s="1"/>
  <c r="L32" i="1" s="1"/>
  <c r="N32" i="1" s="1"/>
  <c r="M33" i="1" s="1"/>
  <c r="O41" i="3" l="1"/>
  <c r="N42" i="3"/>
  <c r="M43" i="3" s="1"/>
  <c r="N33" i="1"/>
  <c r="M34" i="1" s="1"/>
  <c r="O33" i="1" s="1"/>
  <c r="O32" i="1"/>
  <c r="O42" i="3" l="1"/>
  <c r="N43" i="3"/>
  <c r="M44" i="3" s="1"/>
  <c r="N34" i="1"/>
  <c r="M35" i="1" s="1"/>
  <c r="O43" i="3" l="1"/>
  <c r="N44" i="3"/>
  <c r="M45" i="3" s="1"/>
  <c r="O34" i="1"/>
  <c r="N35" i="1"/>
  <c r="M36" i="1" s="1"/>
  <c r="O44" i="3" l="1"/>
  <c r="N45" i="3"/>
  <c r="M46" i="3" s="1"/>
  <c r="O35" i="1"/>
  <c r="N36" i="1"/>
  <c r="M37" i="1" s="1"/>
  <c r="O45" i="3" l="1"/>
  <c r="N46" i="3"/>
  <c r="M47" i="3" s="1"/>
  <c r="O36" i="1"/>
  <c r="N37" i="1"/>
  <c r="M38" i="1" s="1"/>
  <c r="O46" i="3" l="1"/>
  <c r="N47" i="3"/>
  <c r="M48" i="3" s="1"/>
  <c r="O37" i="1"/>
  <c r="N38" i="1"/>
  <c r="M39" i="1" s="1"/>
  <c r="O47" i="3" l="1"/>
  <c r="N48" i="3"/>
  <c r="M49" i="3" s="1"/>
  <c r="O38" i="1"/>
  <c r="N39" i="1"/>
  <c r="M40" i="1" s="1"/>
  <c r="O48" i="3" l="1"/>
  <c r="N49" i="3"/>
  <c r="O49" i="3" s="1"/>
  <c r="P46" i="3"/>
  <c r="Q46" i="3" s="1"/>
  <c r="O39" i="1"/>
  <c r="N40" i="1"/>
  <c r="M41" i="1" s="1"/>
  <c r="P49" i="3" l="1"/>
  <c r="Q49" i="3" s="1"/>
  <c r="P32" i="3"/>
  <c r="Q32" i="3" s="1"/>
  <c r="P33" i="3"/>
  <c r="Q33" i="3" s="1"/>
  <c r="P34" i="3"/>
  <c r="Q34" i="3" s="1"/>
  <c r="P35" i="3"/>
  <c r="Q35" i="3" s="1"/>
  <c r="P36" i="3"/>
  <c r="Q36" i="3" s="1"/>
  <c r="P37" i="3"/>
  <c r="Q37" i="3" s="1"/>
  <c r="P38" i="3"/>
  <c r="Q38" i="3" s="1"/>
  <c r="P41" i="3"/>
  <c r="Q41" i="3" s="1"/>
  <c r="P39" i="3"/>
  <c r="Q39" i="3" s="1"/>
  <c r="P42" i="3"/>
  <c r="Q42" i="3" s="1"/>
  <c r="P48" i="3"/>
  <c r="Q48" i="3" s="1"/>
  <c r="P40" i="3"/>
  <c r="Q40" i="3" s="1"/>
  <c r="P44" i="3"/>
  <c r="Q44" i="3" s="1"/>
  <c r="P43" i="3"/>
  <c r="Q43" i="3" s="1"/>
  <c r="P45" i="3"/>
  <c r="Q45" i="3" s="1"/>
  <c r="P47" i="3"/>
  <c r="Q47" i="3" s="1"/>
  <c r="O40" i="1"/>
  <c r="N41" i="1"/>
  <c r="M42" i="1" s="1"/>
  <c r="O41" i="1" l="1"/>
  <c r="N42" i="1"/>
  <c r="M43" i="1" s="1"/>
  <c r="O42" i="1" l="1"/>
  <c r="N43" i="1"/>
  <c r="M44" i="1" s="1"/>
  <c r="O43" i="1" l="1"/>
  <c r="N44" i="1"/>
  <c r="M45" i="1" s="1"/>
  <c r="O44" i="1" l="1"/>
  <c r="N45" i="1"/>
  <c r="M46" i="1"/>
  <c r="O45" i="1" l="1"/>
  <c r="N46" i="1"/>
  <c r="M47" i="1" s="1"/>
  <c r="O46" i="1" l="1"/>
  <c r="N47" i="1"/>
  <c r="M48" i="1" s="1"/>
  <c r="O47" i="1" l="1"/>
  <c r="N48" i="1"/>
  <c r="M49" i="1" s="1"/>
  <c r="N49" i="1" l="1"/>
  <c r="O49" i="1" s="1"/>
  <c r="O48" i="1"/>
  <c r="P41" i="1" s="1"/>
  <c r="Q41" i="1" s="1"/>
  <c r="P44" i="1" l="1"/>
  <c r="Q44" i="1" s="1"/>
  <c r="P46" i="1"/>
  <c r="Q46" i="1" s="1"/>
  <c r="P47" i="1"/>
  <c r="Q47" i="1" s="1"/>
  <c r="P40" i="1"/>
  <c r="Q40" i="1" s="1"/>
  <c r="P43" i="1"/>
  <c r="Q43" i="1" s="1"/>
  <c r="P45" i="1"/>
  <c r="Q45" i="1" s="1"/>
  <c r="P48" i="1"/>
  <c r="Q48" i="1" s="1"/>
  <c r="P49" i="1"/>
  <c r="Q49" i="1" s="1"/>
  <c r="P33" i="1"/>
  <c r="Q33" i="1" s="1"/>
  <c r="P32" i="1"/>
  <c r="Q32" i="1" s="1"/>
  <c r="P35" i="1"/>
  <c r="Q35" i="1" s="1"/>
  <c r="P34" i="1"/>
  <c r="Q34" i="1" s="1"/>
  <c r="P36" i="1"/>
  <c r="Q36" i="1" s="1"/>
  <c r="P37" i="1"/>
  <c r="Q37" i="1" s="1"/>
  <c r="P38" i="1"/>
  <c r="Q38" i="1" s="1"/>
  <c r="P39" i="1"/>
  <c r="Q39" i="1" s="1"/>
  <c r="P42" i="1"/>
  <c r="Q42" i="1" s="1"/>
</calcChain>
</file>

<file path=xl/sharedStrings.xml><?xml version="1.0" encoding="utf-8"?>
<sst xmlns="http://schemas.openxmlformats.org/spreadsheetml/2006/main" count="316" uniqueCount="77">
  <si>
    <t>Idade</t>
  </si>
  <si>
    <t>x</t>
  </si>
  <si>
    <t>n</t>
  </si>
  <si>
    <t>TEM (x 1000)</t>
  </si>
  <si>
    <t>TEM</t>
  </si>
  <si>
    <t>&lt;1</t>
  </si>
  <si>
    <t xml:space="preserve"> </t>
  </si>
  <si>
    <t>1  -  4</t>
  </si>
  <si>
    <t>5  -  9</t>
  </si>
  <si>
    <t>10 - 14</t>
  </si>
  <si>
    <t>15  - 19</t>
  </si>
  <si>
    <t>20  - 24</t>
  </si>
  <si>
    <t>25  - 29</t>
  </si>
  <si>
    <t>30  - 34</t>
  </si>
  <si>
    <t>35  - 39</t>
  </si>
  <si>
    <t>40  - 44</t>
  </si>
  <si>
    <t>45  - 49</t>
  </si>
  <si>
    <t>50  - 54</t>
  </si>
  <si>
    <t>55  - 59</t>
  </si>
  <si>
    <t>60  - 64</t>
  </si>
  <si>
    <t>65  - 69</t>
  </si>
  <si>
    <t>70  - 74</t>
  </si>
  <si>
    <t>75  - 79</t>
  </si>
  <si>
    <t>80+</t>
  </si>
  <si>
    <t>∞</t>
  </si>
  <si>
    <r>
      <t>1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 </t>
    </r>
  </si>
  <si>
    <r>
      <t>4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= </t>
    </r>
  </si>
  <si>
    <r>
      <t xml:space="preserve">e para </t>
    </r>
    <r>
      <rPr>
        <i/>
        <sz val="10"/>
        <rFont val="Arial"/>
        <family val="2"/>
      </rPr>
      <t>x</t>
    </r>
    <r>
      <rPr>
        <sz val="10"/>
        <rFont val="Arial"/>
        <family val="2"/>
      </rPr>
      <t xml:space="preserve"> ≥ 5, </t>
    </r>
    <r>
      <rPr>
        <i/>
        <vertAlign val="subscript"/>
        <sz val="10"/>
        <rFont val="Arial"/>
        <family val="2"/>
      </rPr>
      <t>n</t>
    </r>
    <r>
      <rPr>
        <i/>
        <sz val="10"/>
        <rFont val="Arial"/>
        <family val="2"/>
      </rPr>
      <t>a</t>
    </r>
    <r>
      <rPr>
        <i/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= </t>
    </r>
  </si>
  <si>
    <r>
      <t>n</t>
    </r>
    <r>
      <rPr>
        <i/>
        <sz val="10"/>
        <rFont val="Arial"/>
        <family val="2"/>
      </rPr>
      <t>q</t>
    </r>
    <r>
      <rPr>
        <i/>
        <vertAlign val="subscript"/>
        <sz val="10"/>
        <rFont val="Arial"/>
        <family val="2"/>
      </rPr>
      <t>x</t>
    </r>
  </si>
  <si>
    <t>PROBABILIDADE DE MORRER POR IDADE</t>
  </si>
  <si>
    <r>
      <t>l</t>
    </r>
    <r>
      <rPr>
        <i/>
        <vertAlign val="subscript"/>
        <sz val="10"/>
        <rFont val="Arial"/>
        <family val="2"/>
      </rPr>
      <t>x</t>
    </r>
  </si>
  <si>
    <r>
      <t>n</t>
    </r>
    <r>
      <rPr>
        <i/>
        <sz val="10"/>
        <rFont val="Arial"/>
        <family val="2"/>
      </rPr>
      <t>d</t>
    </r>
    <r>
      <rPr>
        <i/>
        <vertAlign val="subscript"/>
        <sz val="10"/>
        <rFont val="Arial"/>
        <family val="2"/>
      </rPr>
      <t>x</t>
    </r>
  </si>
  <si>
    <r>
      <t>n</t>
    </r>
    <r>
      <rPr>
        <i/>
        <sz val="10"/>
        <rFont val="Arial"/>
        <family val="2"/>
      </rPr>
      <t>L</t>
    </r>
    <r>
      <rPr>
        <i/>
        <vertAlign val="subscript"/>
        <sz val="10"/>
        <rFont val="Arial"/>
        <family val="2"/>
      </rPr>
      <t>x</t>
    </r>
  </si>
  <si>
    <r>
      <t>T</t>
    </r>
    <r>
      <rPr>
        <i/>
        <vertAlign val="subscript"/>
        <sz val="10"/>
        <rFont val="Arial"/>
        <family val="2"/>
      </rPr>
      <t>x</t>
    </r>
  </si>
  <si>
    <r>
      <t>e</t>
    </r>
    <r>
      <rPr>
        <i/>
        <vertAlign val="subscript"/>
        <sz val="10"/>
        <rFont val="Arial"/>
        <family val="2"/>
      </rPr>
      <t>x</t>
    </r>
  </si>
  <si>
    <t>idade</t>
  </si>
  <si>
    <t>Probabilidade de com</t>
  </si>
  <si>
    <t>De 100000 nascidos vivos</t>
  </si>
  <si>
    <t>Total de anos vividos</t>
  </si>
  <si>
    <t>Esperança de</t>
  </si>
  <si>
    <t>sobreviveram</t>
  </si>
  <si>
    <t>morreram entre as</t>
  </si>
  <si>
    <t>pelos sobreviventes a</t>
  </si>
  <si>
    <t>a partir da</t>
  </si>
  <si>
    <t>vida a partir</t>
  </si>
  <si>
    <r>
      <t>x</t>
    </r>
    <r>
      <rPr>
        <sz val="10"/>
        <rFont val="Arial"/>
        <family val="2"/>
      </rPr>
      <t xml:space="preserve"> anos morrer antes de</t>
    </r>
  </si>
  <si>
    <r>
      <t xml:space="preserve">completar </t>
    </r>
    <r>
      <rPr>
        <i/>
        <sz val="10"/>
        <rFont val="Arial"/>
        <family val="2"/>
      </rPr>
      <t xml:space="preserve">x </t>
    </r>
    <r>
      <rPr>
        <sz val="10"/>
        <rFont val="Arial"/>
        <family val="2"/>
      </rPr>
      <t xml:space="preserve">+ </t>
    </r>
    <r>
      <rPr>
        <i/>
        <sz val="10"/>
        <rFont val="Arial"/>
        <family val="2"/>
      </rPr>
      <t>n</t>
    </r>
    <r>
      <rPr>
        <sz val="10"/>
        <rFont val="Arial"/>
        <family val="2"/>
      </rPr>
      <t xml:space="preserve"> anos</t>
    </r>
  </si>
  <si>
    <r>
      <t xml:space="preserve"> a idade </t>
    </r>
    <r>
      <rPr>
        <i/>
        <sz val="10"/>
        <rFont val="Arial"/>
        <family val="2"/>
      </rPr>
      <t>x</t>
    </r>
  </si>
  <si>
    <r>
      <t>as idades [</t>
    </r>
    <r>
      <rPr>
        <i/>
        <sz val="10"/>
        <rFont val="Arial"/>
        <family val="2"/>
      </rPr>
      <t>x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x</t>
    </r>
    <r>
      <rPr>
        <sz val="10"/>
        <rFont val="Arial"/>
        <family val="2"/>
      </rPr>
      <t>+</t>
    </r>
    <r>
      <rPr>
        <i/>
        <sz val="10"/>
        <rFont val="Arial"/>
        <family val="2"/>
      </rPr>
      <t>n</t>
    </r>
    <r>
      <rPr>
        <sz val="10"/>
        <rFont val="Arial"/>
        <family val="2"/>
      </rPr>
      <t xml:space="preserve">) </t>
    </r>
  </si>
  <si>
    <r>
      <t xml:space="preserve">idade </t>
    </r>
    <r>
      <rPr>
        <i/>
        <sz val="10"/>
        <rFont val="Arial"/>
        <family val="2"/>
      </rPr>
      <t>x</t>
    </r>
  </si>
  <si>
    <r>
      <t xml:space="preserve">da idade </t>
    </r>
    <r>
      <rPr>
        <i/>
        <sz val="10"/>
        <rFont val="Arial"/>
        <family val="2"/>
      </rPr>
      <t>x</t>
    </r>
  </si>
  <si>
    <r>
      <rPr>
        <i/>
        <vertAlign val="subscript"/>
        <sz val="12"/>
        <rFont val="Times New Roman"/>
        <family val="1"/>
        <charset val="1"/>
      </rPr>
      <t xml:space="preserve">n </t>
    </r>
    <r>
      <rPr>
        <sz val="12"/>
        <rFont val="Times New Roman"/>
        <family val="1"/>
        <charset val="1"/>
      </rPr>
      <t>P</t>
    </r>
    <r>
      <rPr>
        <i/>
        <vertAlign val="subscript"/>
        <sz val="12"/>
        <rFont val="Times New Roman"/>
        <family val="1"/>
        <charset val="1"/>
      </rPr>
      <t>x</t>
    </r>
  </si>
  <si>
    <r>
      <rPr>
        <i/>
        <vertAlign val="subscript"/>
        <sz val="12"/>
        <rFont val="Times New Roman"/>
        <family val="1"/>
        <charset val="1"/>
      </rPr>
      <t xml:space="preserve">n </t>
    </r>
    <r>
      <rPr>
        <sz val="12"/>
        <rFont val="Times New Roman"/>
        <family val="1"/>
        <charset val="1"/>
      </rPr>
      <t>O</t>
    </r>
    <r>
      <rPr>
        <i/>
        <vertAlign val="subscript"/>
        <sz val="12"/>
        <rFont val="Times New Roman"/>
        <family val="1"/>
        <charset val="1"/>
      </rPr>
      <t>x</t>
    </r>
  </si>
  <si>
    <r>
      <rPr>
        <i/>
        <vertAlign val="subscript"/>
        <sz val="12"/>
        <rFont val="Times New Roman"/>
        <family val="1"/>
        <charset val="1"/>
      </rPr>
      <t>n</t>
    </r>
    <r>
      <rPr>
        <sz val="12"/>
        <rFont val="Times New Roman"/>
        <family val="1"/>
        <charset val="1"/>
      </rPr>
      <t>TEM</t>
    </r>
    <r>
      <rPr>
        <i/>
        <vertAlign val="subscript"/>
        <sz val="12"/>
        <rFont val="Times New Roman"/>
        <family val="1"/>
        <charset val="1"/>
      </rPr>
      <t>x</t>
    </r>
  </si>
  <si>
    <t>PARANÁ - 2010</t>
  </si>
  <si>
    <t>TÁBUA DE VIDA</t>
  </si>
  <si>
    <r>
      <t xml:space="preserve">idade </t>
    </r>
    <r>
      <rPr>
        <i/>
        <sz val="10"/>
        <rFont val="Arial"/>
        <family val="2"/>
      </rPr>
      <t>x</t>
    </r>
    <r>
      <rPr>
        <sz val="10"/>
        <rFont val="Arial"/>
        <family val="2"/>
      </rPr>
      <t xml:space="preserve"> durante </t>
    </r>
    <r>
      <rPr>
        <i/>
        <sz val="10"/>
        <rFont val="Arial"/>
        <family val="2"/>
      </rPr>
      <t>n</t>
    </r>
    <r>
      <rPr>
        <sz val="10"/>
        <rFont val="Arial"/>
        <family val="2"/>
      </rPr>
      <t xml:space="preserve"> anos</t>
    </r>
  </si>
  <si>
    <r>
      <t xml:space="preserve">n </t>
    </r>
    <r>
      <rPr>
        <sz val="12"/>
        <rFont val="Times New Roman"/>
        <family val="1"/>
        <charset val="1"/>
      </rPr>
      <t>P</t>
    </r>
    <r>
      <rPr>
        <i/>
        <vertAlign val="subscript"/>
        <sz val="12"/>
        <rFont val="Times New Roman"/>
        <family val="1"/>
        <charset val="1"/>
      </rPr>
      <t>x</t>
    </r>
    <r>
      <rPr>
        <vertAlign val="superscript"/>
        <sz val="12"/>
        <rFont val="Times New Roman"/>
        <family val="1"/>
      </rPr>
      <t>Paraná</t>
    </r>
  </si>
  <si>
    <t>Total</t>
  </si>
  <si>
    <t>-</t>
  </si>
  <si>
    <t>MÉTODO DIRETO</t>
  </si>
  <si>
    <r>
      <t>n</t>
    </r>
    <r>
      <rPr>
        <sz val="12"/>
        <rFont val="Times New Roman"/>
        <family val="1"/>
        <charset val="1"/>
      </rPr>
      <t>TEM</t>
    </r>
    <r>
      <rPr>
        <i/>
        <vertAlign val="subscript"/>
        <sz val="12"/>
        <rFont val="Times New Roman"/>
        <family val="1"/>
        <charset val="1"/>
      </rPr>
      <t>x</t>
    </r>
    <r>
      <rPr>
        <vertAlign val="superscript"/>
        <sz val="12"/>
        <rFont val="Times New Roman"/>
        <family val="1"/>
      </rPr>
      <t>Paraná</t>
    </r>
  </si>
  <si>
    <t>MÉTODO INDIRETO</t>
  </si>
  <si>
    <t>TBMpd =</t>
  </si>
  <si>
    <t>TBM =</t>
  </si>
  <si>
    <t>TBMpi =</t>
  </si>
  <si>
    <t>NOVA ZELÂNDIA – 2020</t>
  </si>
  <si>
    <r>
      <t>n</t>
    </r>
    <r>
      <rPr>
        <sz val="12"/>
        <rFont val="Times New Roman"/>
        <family val="1"/>
        <charset val="1"/>
      </rPr>
      <t>TEM</t>
    </r>
    <r>
      <rPr>
        <i/>
        <vertAlign val="subscript"/>
        <sz val="12"/>
        <rFont val="Times New Roman"/>
        <family val="1"/>
        <charset val="1"/>
      </rPr>
      <t>x</t>
    </r>
    <r>
      <rPr>
        <vertAlign val="superscript"/>
        <sz val="12"/>
        <rFont val="Times New Roman"/>
        <family val="1"/>
      </rPr>
      <t>Nova Zelândia</t>
    </r>
  </si>
  <si>
    <r>
      <t>n</t>
    </r>
    <r>
      <rPr>
        <sz val="12"/>
        <rFont val="Times New Roman"/>
        <family val="1"/>
        <charset val="1"/>
      </rPr>
      <t>Ô</t>
    </r>
    <r>
      <rPr>
        <i/>
        <vertAlign val="subscript"/>
        <sz val="12"/>
        <rFont val="Times New Roman"/>
        <family val="1"/>
        <charset val="1"/>
      </rPr>
      <t xml:space="preserve">x </t>
    </r>
    <r>
      <rPr>
        <vertAlign val="superscript"/>
        <sz val="12"/>
        <rFont val="Times New Roman"/>
        <family val="1"/>
        <charset val="1"/>
      </rPr>
      <t>com Nova Zelândia</t>
    </r>
  </si>
  <si>
    <r>
      <t xml:space="preserve">n </t>
    </r>
    <r>
      <rPr>
        <sz val="12"/>
        <rFont val="Times New Roman"/>
        <family val="1"/>
        <charset val="1"/>
      </rPr>
      <t>P</t>
    </r>
    <r>
      <rPr>
        <i/>
        <vertAlign val="subscript"/>
        <sz val="12"/>
        <rFont val="Times New Roman"/>
        <family val="1"/>
        <charset val="1"/>
      </rPr>
      <t>xNova Zelândia</t>
    </r>
  </si>
  <si>
    <t>nÔx com Nova Zelândia</t>
  </si>
  <si>
    <t xml:space="preserve">kNova Zelândia = </t>
  </si>
  <si>
    <t>PALMAS – 2021</t>
  </si>
  <si>
    <t>nTEMxPalmas</t>
  </si>
  <si>
    <t>nÔx com Palmas</t>
  </si>
  <si>
    <t>n PxPalmas</t>
  </si>
  <si>
    <t xml:space="preserve">kPalmas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</si>
</sst>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vertAlign val="subscript"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vertAlign val="subscript"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vertAlign val="subscript"/>
      <sz val="12"/>
      <name val="Times New Roman"/>
      <family val="1"/>
      <charset val="1"/>
    </font>
    <font>
      <sz val="12"/>
      <name val="Times New Roman"/>
      <family val="1"/>
      <charset val="1"/>
    </font>
    <font>
      <vertAlign val="superscript"/>
      <sz val="12"/>
      <name val="Times New Roman"/>
      <family val="1"/>
      <charset val="1"/>
    </font>
    <font>
      <vertAlign val="superscript"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6" fillId="0" borderId="2" xfId="0" applyFont="1" applyBorder="1" applyAlignment="1">
      <alignment horizontal="center"/>
    </xf>
    <xf numFmtId="0" fontId="6" fillId="0" borderId="3" xfId="0" applyNumberFormat="1" applyFont="1" applyBorder="1" applyAlignment="1">
      <alignment horizontal="center"/>
    </xf>
    <xf numFmtId="0" fontId="5" fillId="0" borderId="5" xfId="0" applyFont="1" applyBorder="1" applyAlignment="1" applyProtection="1">
      <alignment horizontal="center" vertical="center"/>
    </xf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0" xfId="0" applyFont="1"/>
    <xf numFmtId="0" fontId="6" fillId="0" borderId="0" xfId="0" applyNumberFormat="1" applyFont="1"/>
    <xf numFmtId="0" fontId="4" fillId="0" borderId="17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4" fillId="0" borderId="21" xfId="0" applyFont="1" applyBorder="1" applyAlignment="1" applyProtection="1">
      <alignment horizontal="center" vertical="center"/>
    </xf>
    <xf numFmtId="2" fontId="6" fillId="0" borderId="0" xfId="0" applyNumberFormat="1" applyFont="1"/>
    <xf numFmtId="0" fontId="4" fillId="0" borderId="23" xfId="0" applyFont="1" applyBorder="1" applyAlignment="1" applyProtection="1">
      <alignment horizontal="center" vertical="center"/>
    </xf>
    <xf numFmtId="0" fontId="4" fillId="0" borderId="24" xfId="0" applyFont="1" applyBorder="1" applyAlignment="1" applyProtection="1">
      <alignment horizontal="center" vertical="center"/>
    </xf>
    <xf numFmtId="0" fontId="5" fillId="0" borderId="25" xfId="0" applyFont="1" applyBorder="1" applyAlignment="1" applyProtection="1">
      <alignment horizontal="center" vertical="center"/>
    </xf>
    <xf numFmtId="3" fontId="6" fillId="0" borderId="2" xfId="0" applyNumberFormat="1" applyFont="1" applyBorder="1"/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6" fillId="0" borderId="7" xfId="0" applyNumberFormat="1" applyFont="1" applyBorder="1" applyAlignment="1">
      <alignment horizontal="right"/>
    </xf>
    <xf numFmtId="2" fontId="1" fillId="0" borderId="13" xfId="0" applyNumberFormat="1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1" fontId="6" fillId="0" borderId="8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4" fontId="6" fillId="0" borderId="2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 vertical="center"/>
    </xf>
    <xf numFmtId="49" fontId="6" fillId="0" borderId="10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right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right" vertical="center"/>
    </xf>
    <xf numFmtId="4" fontId="6" fillId="0" borderId="13" xfId="0" applyNumberFormat="1" applyFont="1" applyBorder="1" applyAlignment="1">
      <alignment horizontal="right" vertical="center"/>
    </xf>
    <xf numFmtId="4" fontId="6" fillId="0" borderId="25" xfId="0" applyNumberFormat="1" applyFont="1" applyBorder="1" applyAlignment="1">
      <alignment horizontal="right" vertical="center"/>
    </xf>
    <xf numFmtId="4" fontId="6" fillId="0" borderId="26" xfId="0" applyNumberFormat="1" applyFont="1" applyBorder="1" applyAlignment="1">
      <alignment horizontal="right" vertical="center"/>
    </xf>
    <xf numFmtId="0" fontId="3" fillId="0" borderId="25" xfId="0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0" fontId="4" fillId="0" borderId="32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6" fillId="0" borderId="4" xfId="0" applyFont="1" applyBorder="1" applyAlignment="1">
      <alignment horizontal="center" vertical="center"/>
    </xf>
    <xf numFmtId="3" fontId="6" fillId="0" borderId="1" xfId="0" applyNumberFormat="1" applyFont="1" applyBorder="1"/>
    <xf numFmtId="3" fontId="6" fillId="0" borderId="1" xfId="0" applyNumberFormat="1" applyFont="1" applyBorder="1" applyAlignment="1">
      <alignment horizontal="center"/>
    </xf>
    <xf numFmtId="0" fontId="6" fillId="0" borderId="0" xfId="0" applyFont="1" applyAlignment="1"/>
    <xf numFmtId="0" fontId="6" fillId="0" borderId="1" xfId="0" applyFont="1" applyBorder="1" applyAlignment="1">
      <alignment horizontal="center"/>
    </xf>
    <xf numFmtId="0" fontId="9" fillId="0" borderId="0" xfId="0" applyFont="1" applyAlignment="1" applyProtection="1">
      <alignment horizontal="right"/>
    </xf>
    <xf numFmtId="3" fontId="6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2" fontId="9" fillId="0" borderId="0" xfId="0" applyNumberFormat="1" applyFont="1" applyAlignment="1" applyProtection="1">
      <alignment horizontal="right"/>
    </xf>
    <xf numFmtId="0" fontId="3" fillId="0" borderId="25" xfId="0" applyFont="1" applyBorder="1" applyAlignment="1" applyProtection="1">
      <alignment horizontal="center" vertical="center"/>
    </xf>
    <xf numFmtId="3" fontId="4" fillId="0" borderId="2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/>
    </xf>
    <xf numFmtId="0" fontId="8" fillId="0" borderId="3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center" vertical="center"/>
    </xf>
    <xf numFmtId="0" fontId="8" fillId="0" borderId="15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center" vertical="center"/>
    </xf>
    <xf numFmtId="3" fontId="4" fillId="0" borderId="10" xfId="0" applyNumberFormat="1" applyFont="1" applyBorder="1" applyAlignment="1">
      <alignment horizontal="right" vertical="center"/>
    </xf>
    <xf numFmtId="2" fontId="4" fillId="0" borderId="6" xfId="0" applyNumberFormat="1" applyFont="1" applyBorder="1" applyAlignment="1">
      <alignment horizontal="right"/>
    </xf>
    <xf numFmtId="3" fontId="4" fillId="0" borderId="11" xfId="0" applyNumberFormat="1" applyFont="1" applyBorder="1" applyAlignment="1">
      <alignment horizontal="right" vertical="center"/>
    </xf>
    <xf numFmtId="2" fontId="4" fillId="0" borderId="7" xfId="0" applyNumberFormat="1" applyFont="1" applyBorder="1" applyAlignment="1">
      <alignment horizontal="right"/>
    </xf>
    <xf numFmtId="3" fontId="6" fillId="0" borderId="12" xfId="0" applyNumberFormat="1" applyFont="1" applyBorder="1"/>
    <xf numFmtId="3" fontId="6" fillId="0" borderId="13" xfId="0" applyNumberFormat="1" applyFont="1" applyBorder="1"/>
    <xf numFmtId="3" fontId="6" fillId="0" borderId="25" xfId="0" applyNumberFormat="1" applyFont="1" applyBorder="1"/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3" fontId="6" fillId="0" borderId="6" xfId="0" applyNumberFormat="1" applyFont="1" applyBorder="1"/>
    <xf numFmtId="3" fontId="6" fillId="0" borderId="7" xfId="0" applyNumberFormat="1" applyFont="1" applyBorder="1"/>
    <xf numFmtId="0" fontId="6" fillId="0" borderId="11" xfId="0" applyFont="1" applyBorder="1" applyAlignment="1">
      <alignment horizontal="center"/>
    </xf>
    <xf numFmtId="49" fontId="6" fillId="0" borderId="35" xfId="0" applyNumberFormat="1" applyFont="1" applyBorder="1" applyAlignment="1">
      <alignment horizontal="center"/>
    </xf>
    <xf numFmtId="0" fontId="6" fillId="0" borderId="36" xfId="0" applyNumberFormat="1" applyFont="1" applyBorder="1" applyAlignment="1">
      <alignment horizontal="center"/>
    </xf>
    <xf numFmtId="0" fontId="2" fillId="0" borderId="39" xfId="0" applyFont="1" applyBorder="1" applyAlignment="1" applyProtection="1">
      <alignment horizontal="center" vertical="center"/>
    </xf>
    <xf numFmtId="0" fontId="4" fillId="0" borderId="37" xfId="0" applyFont="1" applyBorder="1" applyAlignment="1" applyProtection="1">
      <alignment horizontal="center" vertical="center"/>
    </xf>
    <xf numFmtId="0" fontId="2" fillId="0" borderId="3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7" xfId="0" applyFont="1" applyBorder="1"/>
    <xf numFmtId="0" fontId="6" fillId="2" borderId="37" xfId="0" applyFont="1" applyFill="1" applyBorder="1"/>
    <xf numFmtId="0" fontId="6" fillId="2" borderId="40" xfId="0" applyFont="1" applyFill="1" applyBorder="1"/>
    <xf numFmtId="0" fontId="6" fillId="2" borderId="0" xfId="0" applyFont="1" applyFill="1" applyBorder="1"/>
    <xf numFmtId="0" fontId="6" fillId="2" borderId="9" xfId="0" applyFont="1" applyFill="1" applyBorder="1"/>
    <xf numFmtId="0" fontId="6" fillId="2" borderId="41" xfId="0" applyNumberFormat="1" applyFont="1" applyFill="1" applyBorder="1"/>
    <xf numFmtId="0" fontId="6" fillId="2" borderId="38" xfId="0" applyNumberFormat="1" applyFont="1" applyFill="1" applyBorder="1"/>
    <xf numFmtId="0" fontId="6" fillId="2" borderId="37" xfId="0" applyFont="1" applyFill="1" applyBorder="1" applyAlignment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33" xfId="0" applyNumberFormat="1" applyFont="1" applyBorder="1" applyAlignment="1">
      <alignment horizontal="center" vertical="center"/>
    </xf>
    <xf numFmtId="0" fontId="6" fillId="0" borderId="3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2" fontId="7" fillId="0" borderId="13" xfId="0" applyNumberFormat="1" applyFont="1" applyBorder="1" applyAlignment="1">
      <alignment horizontal="left"/>
    </xf>
    <xf numFmtId="2" fontId="7" fillId="0" borderId="8" xfId="0" applyNumberFormat="1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2" fontId="7" fillId="0" borderId="42" xfId="0" applyNumberFormat="1" applyFont="1" applyBorder="1" applyAlignment="1">
      <alignment horizontal="left"/>
    </xf>
    <xf numFmtId="2" fontId="7" fillId="0" borderId="43" xfId="0" applyNumberFormat="1" applyFont="1" applyBorder="1" applyAlignment="1">
      <alignment horizontal="left"/>
    </xf>
    <xf numFmtId="0" fontId="4" fillId="0" borderId="22" xfId="0" applyFont="1" applyBorder="1" applyAlignment="1" applyProtection="1">
      <alignment horizontal="center" vertical="center"/>
    </xf>
    <xf numFmtId="0" fontId="4" fillId="0" borderId="30" xfId="0" applyFont="1" applyBorder="1" applyAlignment="1" applyProtection="1">
      <alignment horizontal="center" vertical="center"/>
    </xf>
    <xf numFmtId="0" fontId="3" fillId="0" borderId="23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25" xfId="0" applyFont="1" applyBorder="1" applyAlignment="1" applyProtection="1">
      <alignment horizontal="center" vertical="center"/>
    </xf>
    <xf numFmtId="0" fontId="4" fillId="0" borderId="27" xfId="0" applyFont="1" applyBorder="1" applyAlignment="1" applyProtection="1">
      <alignment horizontal="center" vertical="center"/>
    </xf>
    <xf numFmtId="0" fontId="4" fillId="0" borderId="28" xfId="0" applyFont="1" applyBorder="1" applyAlignment="1" applyProtection="1">
      <alignment horizontal="center" vertical="center"/>
    </xf>
    <xf numFmtId="0" fontId="4" fillId="0" borderId="29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1"/>
  <sheetViews>
    <sheetView tabSelected="1" workbookViewId="0">
      <selection activeCell="J6" sqref="J6"/>
    </sheetView>
  </sheetViews>
  <sheetFormatPr defaultRowHeight="12.75" x14ac:dyDescent="0.2"/>
  <cols>
    <col min="1" max="1" width="9.140625" style="8"/>
    <col min="2" max="2" width="10.7109375" style="9" customWidth="1"/>
    <col min="3" max="7" width="12.7109375" style="8" customWidth="1"/>
    <col min="8" max="8" width="3.7109375" style="8" customWidth="1"/>
    <col min="9" max="17" width="20.7109375" style="8" customWidth="1"/>
    <col min="18" max="16384" width="9.140625" style="8"/>
  </cols>
  <sheetData>
    <row r="2" spans="1:18" s="20" customFormat="1" ht="12.75" customHeight="1" thickBot="1" x14ac:dyDescent="0.3"/>
    <row r="3" spans="1:18" s="57" customFormat="1" ht="12.75" customHeight="1" thickBot="1" x14ac:dyDescent="0.25">
      <c r="B3" s="99" t="s">
        <v>0</v>
      </c>
      <c r="C3" s="97" t="s">
        <v>54</v>
      </c>
      <c r="D3" s="98"/>
      <c r="E3" s="98" t="s">
        <v>66</v>
      </c>
      <c r="F3" s="98"/>
      <c r="G3" s="101"/>
      <c r="H3" s="96"/>
      <c r="I3" s="97" t="s">
        <v>60</v>
      </c>
      <c r="J3" s="98"/>
      <c r="K3" s="98"/>
      <c r="L3" s="101"/>
      <c r="M3" s="97" t="s">
        <v>62</v>
      </c>
      <c r="N3" s="98"/>
      <c r="O3" s="98"/>
      <c r="P3" s="101"/>
    </row>
    <row r="4" spans="1:18" ht="19.5" thickBot="1" x14ac:dyDescent="0.3">
      <c r="A4" s="8" t="s">
        <v>6</v>
      </c>
      <c r="B4" s="100"/>
      <c r="C4" s="67" t="s">
        <v>51</v>
      </c>
      <c r="D4" s="68" t="s">
        <v>53</v>
      </c>
      <c r="E4" s="68" t="s">
        <v>51</v>
      </c>
      <c r="F4" s="69" t="s">
        <v>52</v>
      </c>
      <c r="G4" s="70" t="s">
        <v>53</v>
      </c>
      <c r="H4" s="92"/>
      <c r="I4" s="79" t="s">
        <v>0</v>
      </c>
      <c r="J4" s="68" t="s">
        <v>57</v>
      </c>
      <c r="K4" s="68" t="s">
        <v>67</v>
      </c>
      <c r="L4" s="70" t="s">
        <v>68</v>
      </c>
      <c r="M4" s="79" t="s">
        <v>0</v>
      </c>
      <c r="N4" s="68" t="s">
        <v>61</v>
      </c>
      <c r="O4" s="68" t="s">
        <v>69</v>
      </c>
      <c r="P4" s="70" t="s">
        <v>70</v>
      </c>
      <c r="Q4" s="59" t="s">
        <v>71</v>
      </c>
      <c r="R4" s="62">
        <f>F23/P23</f>
        <v>0.30630858977853809</v>
      </c>
    </row>
    <row r="5" spans="1:18" x14ac:dyDescent="0.2">
      <c r="B5" s="83" t="s">
        <v>5</v>
      </c>
      <c r="C5" s="71">
        <v>73642</v>
      </c>
      <c r="D5" s="65">
        <v>25.202093296273901</v>
      </c>
      <c r="E5" s="34">
        <v>59010</v>
      </c>
      <c r="F5" s="19">
        <v>231</v>
      </c>
      <c r="G5" s="72">
        <v>3.9145907473309611</v>
      </c>
      <c r="H5" s="92"/>
      <c r="I5" s="4" t="s">
        <v>5</v>
      </c>
      <c r="J5" s="64">
        <v>73642</v>
      </c>
      <c r="K5" s="66">
        <v>3.9145907473309611</v>
      </c>
      <c r="L5" s="80">
        <f>(J5*K5)/1000</f>
        <v>288.27829181494661</v>
      </c>
      <c r="M5" s="4" t="s">
        <v>5</v>
      </c>
      <c r="N5" s="65">
        <v>25.202093296273901</v>
      </c>
      <c r="O5" s="34">
        <v>59010</v>
      </c>
      <c r="P5" s="80">
        <f>(N5*O5)/1000</f>
        <v>1487.1755254131231</v>
      </c>
      <c r="Q5" s="61" t="s">
        <v>64</v>
      </c>
      <c r="R5" s="15">
        <v>7.6807184483969246</v>
      </c>
    </row>
    <row r="6" spans="1:18" x14ac:dyDescent="0.2">
      <c r="B6" s="83" t="s">
        <v>7</v>
      </c>
      <c r="C6" s="73">
        <v>289470</v>
      </c>
      <c r="D6" s="23">
        <v>0.97104452374625805</v>
      </c>
      <c r="E6" s="40">
        <v>246350</v>
      </c>
      <c r="F6" s="55">
        <v>36</v>
      </c>
      <c r="G6" s="74">
        <v>0.14613354982748125</v>
      </c>
      <c r="H6" s="92"/>
      <c r="I6" s="5" t="s">
        <v>7</v>
      </c>
      <c r="J6" s="38">
        <v>289470</v>
      </c>
      <c r="K6" s="39">
        <v>0.14613354982748125</v>
      </c>
      <c r="L6" s="81">
        <f t="shared" ref="L6:L22" si="0">(J6*K6)/1000</f>
        <v>42.301278668560997</v>
      </c>
      <c r="M6" s="5" t="s">
        <v>7</v>
      </c>
      <c r="N6" s="23">
        <v>0.97104452374625805</v>
      </c>
      <c r="O6" s="40">
        <v>246350</v>
      </c>
      <c r="P6" s="81">
        <f t="shared" ref="P6:P22" si="1">(N6*O6)/1000</f>
        <v>239.21681842489068</v>
      </c>
    </row>
    <row r="7" spans="1:18" x14ac:dyDescent="0.2">
      <c r="B7" s="83" t="s">
        <v>8</v>
      </c>
      <c r="C7" s="73">
        <v>390883</v>
      </c>
      <c r="D7" s="23">
        <v>0.526410783902172</v>
      </c>
      <c r="E7" s="40">
        <v>328760</v>
      </c>
      <c r="F7" s="55">
        <v>24</v>
      </c>
      <c r="G7" s="74">
        <v>7.3001581700936846E-2</v>
      </c>
      <c r="H7" s="92"/>
      <c r="I7" s="5" t="s">
        <v>8</v>
      </c>
      <c r="J7" s="38">
        <v>390883</v>
      </c>
      <c r="K7" s="39">
        <v>7.3001581700936846E-2</v>
      </c>
      <c r="L7" s="81">
        <f t="shared" si="0"/>
        <v>28.535077260007295</v>
      </c>
      <c r="M7" s="5" t="s">
        <v>8</v>
      </c>
      <c r="N7" s="23">
        <v>0.526410783902172</v>
      </c>
      <c r="O7" s="40">
        <v>328760</v>
      </c>
      <c r="P7" s="81">
        <f t="shared" si="1"/>
        <v>173.06280931567807</v>
      </c>
    </row>
    <row r="8" spans="1:18" x14ac:dyDescent="0.2">
      <c r="B8" s="83" t="s">
        <v>9</v>
      </c>
      <c r="C8" s="73">
        <v>463552</v>
      </c>
      <c r="D8" s="23">
        <v>0.65409214584648701</v>
      </c>
      <c r="E8" s="40">
        <v>332270</v>
      </c>
      <c r="F8" s="55">
        <v>42</v>
      </c>
      <c r="G8" s="74">
        <v>0.12640322629187106</v>
      </c>
      <c r="H8" s="92"/>
      <c r="I8" s="5" t="s">
        <v>9</v>
      </c>
      <c r="J8" s="38">
        <v>463552</v>
      </c>
      <c r="K8" s="39">
        <v>0.12640322629187106</v>
      </c>
      <c r="L8" s="81">
        <f t="shared" si="0"/>
        <v>58.594468354049418</v>
      </c>
      <c r="M8" s="5" t="s">
        <v>9</v>
      </c>
      <c r="N8" s="23">
        <v>0.65409214584648701</v>
      </c>
      <c r="O8" s="40">
        <v>332270</v>
      </c>
      <c r="P8" s="81">
        <f t="shared" si="1"/>
        <v>217.33519730041223</v>
      </c>
    </row>
    <row r="9" spans="1:18" x14ac:dyDescent="0.2">
      <c r="B9" s="83" t="s">
        <v>10</v>
      </c>
      <c r="C9" s="73">
        <v>469762</v>
      </c>
      <c r="D9" s="23">
        <v>2.77677501227465</v>
      </c>
      <c r="E9" s="40">
        <v>317880</v>
      </c>
      <c r="F9" s="55">
        <v>123</v>
      </c>
      <c r="G9" s="74">
        <v>0.38693846734616838</v>
      </c>
      <c r="H9" s="92"/>
      <c r="I9" s="5" t="s">
        <v>10</v>
      </c>
      <c r="J9" s="38">
        <v>469762</v>
      </c>
      <c r="K9" s="39">
        <v>0.38693846734616838</v>
      </c>
      <c r="L9" s="81">
        <f t="shared" si="0"/>
        <v>181.76898829747077</v>
      </c>
      <c r="M9" s="5" t="s">
        <v>10</v>
      </c>
      <c r="N9" s="23">
        <v>2.77677501227465</v>
      </c>
      <c r="O9" s="40">
        <v>317880</v>
      </c>
      <c r="P9" s="81">
        <f t="shared" si="1"/>
        <v>882.68124090186575</v>
      </c>
    </row>
    <row r="10" spans="1:18" x14ac:dyDescent="0.2">
      <c r="B10" s="83" t="s">
        <v>11</v>
      </c>
      <c r="C10" s="73">
        <v>451739</v>
      </c>
      <c r="D10" s="23">
        <v>3.8073028626644501</v>
      </c>
      <c r="E10" s="40">
        <v>338650</v>
      </c>
      <c r="F10" s="55">
        <v>171</v>
      </c>
      <c r="G10" s="74">
        <v>0.50494610955263541</v>
      </c>
      <c r="H10" s="92"/>
      <c r="I10" s="5" t="s">
        <v>11</v>
      </c>
      <c r="J10" s="38">
        <v>451739</v>
      </c>
      <c r="K10" s="39">
        <v>0.50494610955263541</v>
      </c>
      <c r="L10" s="81">
        <f t="shared" si="0"/>
        <v>228.10385058319795</v>
      </c>
      <c r="M10" s="5" t="s">
        <v>11</v>
      </c>
      <c r="N10" s="23">
        <v>3.8073028626644501</v>
      </c>
      <c r="O10" s="40">
        <v>338650</v>
      </c>
      <c r="P10" s="81">
        <f t="shared" si="1"/>
        <v>1289.3431144413162</v>
      </c>
    </row>
    <row r="11" spans="1:18" x14ac:dyDescent="0.2">
      <c r="B11" s="83" t="s">
        <v>12</v>
      </c>
      <c r="C11" s="73">
        <v>436675</v>
      </c>
      <c r="D11" s="23">
        <v>3.8248671352271102</v>
      </c>
      <c r="E11" s="40">
        <v>380340</v>
      </c>
      <c r="F11" s="55">
        <v>204</v>
      </c>
      <c r="G11" s="74">
        <v>0.53636220224010089</v>
      </c>
      <c r="H11" s="92"/>
      <c r="I11" s="5" t="s">
        <v>12</v>
      </c>
      <c r="J11" s="38">
        <v>436675</v>
      </c>
      <c r="K11" s="39">
        <v>0.53636220224010089</v>
      </c>
      <c r="L11" s="81">
        <f t="shared" si="0"/>
        <v>234.21596466319608</v>
      </c>
      <c r="M11" s="5" t="s">
        <v>12</v>
      </c>
      <c r="N11" s="23">
        <v>3.8248671352271102</v>
      </c>
      <c r="O11" s="40">
        <v>380340</v>
      </c>
      <c r="P11" s="81">
        <f t="shared" si="1"/>
        <v>1454.7499662122791</v>
      </c>
    </row>
    <row r="12" spans="1:18" x14ac:dyDescent="0.2">
      <c r="B12" s="83" t="s">
        <v>13</v>
      </c>
      <c r="C12" s="73">
        <v>410438</v>
      </c>
      <c r="D12" s="23">
        <v>3.9878569401400501</v>
      </c>
      <c r="E12" s="40">
        <v>373080</v>
      </c>
      <c r="F12" s="55">
        <v>201</v>
      </c>
      <c r="G12" s="74">
        <v>0.53875844322933419</v>
      </c>
      <c r="H12" s="92"/>
      <c r="I12" s="5" t="s">
        <v>13</v>
      </c>
      <c r="J12" s="38">
        <v>410438</v>
      </c>
      <c r="K12" s="39">
        <v>0.53875844322933419</v>
      </c>
      <c r="L12" s="81">
        <f t="shared" si="0"/>
        <v>221.12693792216149</v>
      </c>
      <c r="M12" s="5" t="s">
        <v>13</v>
      </c>
      <c r="N12" s="23">
        <v>3.9878569401400501</v>
      </c>
      <c r="O12" s="40">
        <v>373080</v>
      </c>
      <c r="P12" s="81">
        <f t="shared" si="1"/>
        <v>1487.7896672274499</v>
      </c>
    </row>
    <row r="13" spans="1:18" x14ac:dyDescent="0.2">
      <c r="B13" s="83" t="s">
        <v>14</v>
      </c>
      <c r="C13" s="73">
        <v>384351</v>
      </c>
      <c r="D13" s="23">
        <v>4.95307489475013</v>
      </c>
      <c r="E13" s="40">
        <v>334830</v>
      </c>
      <c r="F13" s="55">
        <v>258</v>
      </c>
      <c r="G13" s="74">
        <v>0.7705402741689813</v>
      </c>
      <c r="H13" s="92"/>
      <c r="I13" s="5" t="s">
        <v>14</v>
      </c>
      <c r="J13" s="38">
        <v>384351</v>
      </c>
      <c r="K13" s="39">
        <v>0.7705402741689813</v>
      </c>
      <c r="L13" s="81">
        <f t="shared" si="0"/>
        <v>296.1579249171221</v>
      </c>
      <c r="M13" s="5" t="s">
        <v>14</v>
      </c>
      <c r="N13" s="23">
        <v>4.95307489475013</v>
      </c>
      <c r="O13" s="40">
        <v>334830</v>
      </c>
      <c r="P13" s="81">
        <f t="shared" si="1"/>
        <v>1658.4380670091859</v>
      </c>
    </row>
    <row r="14" spans="1:18" x14ac:dyDescent="0.2">
      <c r="B14" s="83" t="s">
        <v>15</v>
      </c>
      <c r="C14" s="73">
        <v>372379</v>
      </c>
      <c r="D14" s="23">
        <v>6.3846780599316197</v>
      </c>
      <c r="E14" s="40">
        <v>308460</v>
      </c>
      <c r="F14" s="55">
        <v>351</v>
      </c>
      <c r="G14" s="74">
        <v>1.1379109122738766</v>
      </c>
      <c r="H14" s="92"/>
      <c r="I14" s="5" t="s">
        <v>15</v>
      </c>
      <c r="J14" s="38">
        <v>372379</v>
      </c>
      <c r="K14" s="39">
        <v>1.1379109122738766</v>
      </c>
      <c r="L14" s="81">
        <f t="shared" si="0"/>
        <v>423.73412760163387</v>
      </c>
      <c r="M14" s="5" t="s">
        <v>15</v>
      </c>
      <c r="N14" s="23">
        <v>6.3846780599316197</v>
      </c>
      <c r="O14" s="40">
        <v>308460</v>
      </c>
      <c r="P14" s="81">
        <f t="shared" si="1"/>
        <v>1969.4177943665072</v>
      </c>
    </row>
    <row r="15" spans="1:18" x14ac:dyDescent="0.2">
      <c r="B15" s="83" t="s">
        <v>16</v>
      </c>
      <c r="C15" s="73">
        <v>336461</v>
      </c>
      <c r="D15" s="23">
        <v>9.2050637170639806</v>
      </c>
      <c r="E15" s="40">
        <v>331870</v>
      </c>
      <c r="F15" s="55">
        <v>597</v>
      </c>
      <c r="G15" s="74">
        <v>1.7988971585259288</v>
      </c>
      <c r="H15" s="92"/>
      <c r="I15" s="5" t="s">
        <v>16</v>
      </c>
      <c r="J15" s="38">
        <v>336461</v>
      </c>
      <c r="K15" s="39">
        <v>1.7988971585259288</v>
      </c>
      <c r="L15" s="81">
        <f t="shared" si="0"/>
        <v>605.25873685479257</v>
      </c>
      <c r="M15" s="5" t="s">
        <v>16</v>
      </c>
      <c r="N15" s="23">
        <v>9.2050637170639806</v>
      </c>
      <c r="O15" s="40">
        <v>331870</v>
      </c>
      <c r="P15" s="81">
        <f t="shared" si="1"/>
        <v>3054.8844957820234</v>
      </c>
    </row>
    <row r="16" spans="1:18" x14ac:dyDescent="0.2">
      <c r="B16" s="83" t="s">
        <v>17</v>
      </c>
      <c r="C16" s="73">
        <v>282641</v>
      </c>
      <c r="D16" s="23">
        <v>13.699665073897</v>
      </c>
      <c r="E16" s="40">
        <v>326040</v>
      </c>
      <c r="F16" s="55">
        <v>918</v>
      </c>
      <c r="G16" s="74">
        <v>2.8156054471843945</v>
      </c>
      <c r="H16" s="92"/>
      <c r="I16" s="5" t="s">
        <v>17</v>
      </c>
      <c r="J16" s="38">
        <v>282641</v>
      </c>
      <c r="K16" s="39">
        <v>2.8156054471843945</v>
      </c>
      <c r="L16" s="81">
        <f t="shared" si="0"/>
        <v>795.80553919764441</v>
      </c>
      <c r="M16" s="5" t="s">
        <v>17</v>
      </c>
      <c r="N16" s="23">
        <v>13.699665073897</v>
      </c>
      <c r="O16" s="40">
        <v>326040</v>
      </c>
      <c r="P16" s="81">
        <f t="shared" si="1"/>
        <v>4466.6388006933776</v>
      </c>
    </row>
    <row r="17" spans="2:17" x14ac:dyDescent="0.2">
      <c r="B17" s="83" t="s">
        <v>18</v>
      </c>
      <c r="C17" s="73">
        <v>231993</v>
      </c>
      <c r="D17" s="23">
        <v>19.662767711827701</v>
      </c>
      <c r="E17" s="40">
        <v>325630</v>
      </c>
      <c r="F17" s="55">
        <v>1392</v>
      </c>
      <c r="G17" s="74">
        <v>4.2747904062893465</v>
      </c>
      <c r="H17" s="92"/>
      <c r="I17" s="5" t="s">
        <v>18</v>
      </c>
      <c r="J17" s="38">
        <v>231993</v>
      </c>
      <c r="K17" s="39">
        <v>4.2747904062893465</v>
      </c>
      <c r="L17" s="81">
        <f t="shared" si="0"/>
        <v>991.72145072628439</v>
      </c>
      <c r="M17" s="5" t="s">
        <v>18</v>
      </c>
      <c r="N17" s="23">
        <v>19.662767711827701</v>
      </c>
      <c r="O17" s="40">
        <v>325630</v>
      </c>
      <c r="P17" s="81">
        <f t="shared" si="1"/>
        <v>6402.7870500024546</v>
      </c>
    </row>
    <row r="18" spans="2:17" x14ac:dyDescent="0.2">
      <c r="B18" s="83" t="s">
        <v>19</v>
      </c>
      <c r="C18" s="73">
        <v>180838</v>
      </c>
      <c r="D18" s="23">
        <v>28.9407569638098</v>
      </c>
      <c r="E18" s="40">
        <v>290100</v>
      </c>
      <c r="F18" s="55">
        <v>1806</v>
      </c>
      <c r="G18" s="74">
        <v>6.2254395036194419</v>
      </c>
      <c r="H18" s="92"/>
      <c r="I18" s="5" t="s">
        <v>19</v>
      </c>
      <c r="J18" s="38">
        <v>180838</v>
      </c>
      <c r="K18" s="39">
        <v>6.2254395036194419</v>
      </c>
      <c r="L18" s="81">
        <f t="shared" si="0"/>
        <v>1125.7960289555326</v>
      </c>
      <c r="M18" s="5" t="s">
        <v>19</v>
      </c>
      <c r="N18" s="23">
        <v>28.9407569638098</v>
      </c>
      <c r="O18" s="40">
        <v>290100</v>
      </c>
      <c r="P18" s="81">
        <f t="shared" si="1"/>
        <v>8395.7135952012213</v>
      </c>
    </row>
    <row r="19" spans="2:17" x14ac:dyDescent="0.2">
      <c r="B19" s="83" t="s">
        <v>20</v>
      </c>
      <c r="C19" s="73">
        <v>133729</v>
      </c>
      <c r="D19" s="23">
        <v>46.458709469080802</v>
      </c>
      <c r="E19" s="40">
        <v>247190</v>
      </c>
      <c r="F19" s="55">
        <v>2415</v>
      </c>
      <c r="G19" s="74">
        <v>9.7698126946882962</v>
      </c>
      <c r="H19" s="92"/>
      <c r="I19" s="5" t="s">
        <v>20</v>
      </c>
      <c r="J19" s="38">
        <v>133729</v>
      </c>
      <c r="K19" s="39">
        <v>9.7698126946882962</v>
      </c>
      <c r="L19" s="81">
        <f t="shared" si="0"/>
        <v>1306.5072818479712</v>
      </c>
      <c r="M19" s="5" t="s">
        <v>20</v>
      </c>
      <c r="N19" s="23">
        <v>46.458709469080802</v>
      </c>
      <c r="O19" s="40">
        <v>247190</v>
      </c>
      <c r="P19" s="81">
        <f t="shared" si="1"/>
        <v>11484.128393662084</v>
      </c>
    </row>
    <row r="20" spans="2:17" x14ac:dyDescent="0.2">
      <c r="B20" s="83" t="s">
        <v>21</v>
      </c>
      <c r="C20" s="73">
        <v>99314</v>
      </c>
      <c r="D20" s="23">
        <v>71.268933733366694</v>
      </c>
      <c r="E20" s="40">
        <v>212370</v>
      </c>
      <c r="F20" s="55">
        <v>3270</v>
      </c>
      <c r="G20" s="74">
        <v>15.397655036022037</v>
      </c>
      <c r="H20" s="92"/>
      <c r="I20" s="5" t="s">
        <v>21</v>
      </c>
      <c r="J20" s="38">
        <v>99314</v>
      </c>
      <c r="K20" s="39">
        <v>15.397655036022037</v>
      </c>
      <c r="L20" s="81">
        <f t="shared" si="0"/>
        <v>1529.2027122474924</v>
      </c>
      <c r="M20" s="5" t="s">
        <v>21</v>
      </c>
      <c r="N20" s="23">
        <v>71.268933733366694</v>
      </c>
      <c r="O20" s="40">
        <v>212370</v>
      </c>
      <c r="P20" s="81">
        <f t="shared" si="1"/>
        <v>15135.383456955085</v>
      </c>
    </row>
    <row r="21" spans="2:17" x14ac:dyDescent="0.2">
      <c r="B21" s="83" t="s">
        <v>22</v>
      </c>
      <c r="C21" s="73">
        <v>64121</v>
      </c>
      <c r="D21" s="23">
        <v>118.75143695093701</v>
      </c>
      <c r="E21" s="40">
        <v>146420</v>
      </c>
      <c r="F21" s="55">
        <v>4017</v>
      </c>
      <c r="G21" s="74">
        <v>27.434776669853843</v>
      </c>
      <c r="H21" s="92"/>
      <c r="I21" s="5" t="s">
        <v>22</v>
      </c>
      <c r="J21" s="38">
        <v>64121</v>
      </c>
      <c r="K21" s="39">
        <v>27.434776669853843</v>
      </c>
      <c r="L21" s="81">
        <f t="shared" si="0"/>
        <v>1759.1453148476983</v>
      </c>
      <c r="M21" s="5" t="s">
        <v>22</v>
      </c>
      <c r="N21" s="23">
        <v>118.75143695093701</v>
      </c>
      <c r="O21" s="40">
        <v>146420</v>
      </c>
      <c r="P21" s="81">
        <f t="shared" si="1"/>
        <v>17387.585398356194</v>
      </c>
    </row>
    <row r="22" spans="2:17" x14ac:dyDescent="0.2">
      <c r="B22" s="83" t="s">
        <v>23</v>
      </c>
      <c r="C22" s="73">
        <v>59006</v>
      </c>
      <c r="D22" s="23">
        <v>271.84796588087801</v>
      </c>
      <c r="E22" s="40">
        <v>185040</v>
      </c>
      <c r="F22" s="55">
        <v>22995</v>
      </c>
      <c r="G22" s="74">
        <v>124.27042801556421</v>
      </c>
      <c r="H22" s="92"/>
      <c r="I22" s="5" t="s">
        <v>23</v>
      </c>
      <c r="J22" s="38">
        <v>59006</v>
      </c>
      <c r="K22" s="39">
        <v>124.27042801556421</v>
      </c>
      <c r="L22" s="81">
        <f t="shared" si="0"/>
        <v>7332.7008754863809</v>
      </c>
      <c r="M22" s="5" t="s">
        <v>23</v>
      </c>
      <c r="N22" s="23">
        <v>271.84796588087801</v>
      </c>
      <c r="O22" s="40">
        <v>185040</v>
      </c>
      <c r="P22" s="81">
        <f t="shared" si="1"/>
        <v>50302.747606597666</v>
      </c>
    </row>
    <row r="23" spans="2:17" ht="13.5" thickBot="1" x14ac:dyDescent="0.25">
      <c r="B23" s="84" t="s">
        <v>58</v>
      </c>
      <c r="C23" s="75">
        <f>SUM(C5:C22)</f>
        <v>5130994</v>
      </c>
      <c r="D23" s="7" t="s">
        <v>59</v>
      </c>
      <c r="E23" s="76">
        <f>SUM(E5:E22)</f>
        <v>5084290</v>
      </c>
      <c r="F23" s="77">
        <f>SUM(F5:F22)</f>
        <v>39051</v>
      </c>
      <c r="G23" s="78" t="s">
        <v>59</v>
      </c>
      <c r="H23" s="92"/>
      <c r="I23" s="82" t="s">
        <v>58</v>
      </c>
      <c r="J23" s="55">
        <f>SUM(J5:J22)</f>
        <v>5130994</v>
      </c>
      <c r="K23" s="56" t="s">
        <v>59</v>
      </c>
      <c r="L23" s="81">
        <f>SUM(L5:L22)</f>
        <v>17448.954850246144</v>
      </c>
      <c r="M23" s="82" t="s">
        <v>58</v>
      </c>
      <c r="N23" s="56" t="s">
        <v>59</v>
      </c>
      <c r="O23" s="60">
        <f>SUM(O5:O22)</f>
        <v>5084290</v>
      </c>
      <c r="P23" s="81">
        <f>SUM(P5:P22)</f>
        <v>127489.07899786282</v>
      </c>
    </row>
    <row r="24" spans="2:17" ht="12.75" customHeight="1" thickBot="1" x14ac:dyDescent="0.25">
      <c r="B24" s="95"/>
      <c r="C24" s="93"/>
      <c r="D24" s="93"/>
      <c r="E24" s="93"/>
      <c r="F24" s="93"/>
      <c r="G24" s="93"/>
      <c r="H24" s="93"/>
      <c r="I24" s="102" t="s">
        <v>63</v>
      </c>
      <c r="J24" s="103"/>
      <c r="K24" s="104">
        <f>L23/J23*1000</f>
        <v>3.4006967948600493</v>
      </c>
      <c r="L24" s="105"/>
      <c r="M24" s="102" t="s">
        <v>65</v>
      </c>
      <c r="N24" s="103"/>
      <c r="O24" s="109">
        <f>R5*R4</f>
        <v>2.3526700364144633</v>
      </c>
      <c r="P24" s="110"/>
    </row>
    <row r="25" spans="2:17" ht="12.75" customHeight="1" thickBot="1" x14ac:dyDescent="0.25"/>
    <row r="26" spans="2:17" ht="12.75" customHeight="1" thickBot="1" x14ac:dyDescent="0.25">
      <c r="B26" s="85" t="s">
        <v>25</v>
      </c>
      <c r="C26" s="86">
        <v>0.1</v>
      </c>
      <c r="D26" s="87" t="s">
        <v>26</v>
      </c>
      <c r="E26" s="86">
        <v>0.4</v>
      </c>
      <c r="F26" s="88" t="s">
        <v>27</v>
      </c>
      <c r="G26" s="88"/>
      <c r="H26" s="89">
        <v>0.5</v>
      </c>
      <c r="I26" s="90"/>
      <c r="J26" s="90"/>
      <c r="K26" s="90"/>
      <c r="L26" s="90"/>
      <c r="M26" s="90"/>
      <c r="N26" s="90"/>
      <c r="O26" s="90"/>
      <c r="P26" s="90"/>
      <c r="Q26" s="91"/>
    </row>
    <row r="27" spans="2:17" ht="12.75" customHeight="1" thickBot="1" x14ac:dyDescent="0.25">
      <c r="B27" s="106" t="s">
        <v>29</v>
      </c>
      <c r="C27" s="107"/>
      <c r="D27" s="107"/>
      <c r="E27" s="107"/>
      <c r="F27" s="107"/>
      <c r="G27" s="108"/>
      <c r="H27" s="92"/>
      <c r="I27" s="106" t="s">
        <v>55</v>
      </c>
      <c r="J27" s="107"/>
      <c r="K27" s="107"/>
      <c r="L27" s="107"/>
      <c r="M27" s="107"/>
      <c r="N27" s="107"/>
      <c r="O27" s="107"/>
      <c r="P27" s="107"/>
      <c r="Q27" s="108"/>
    </row>
    <row r="28" spans="2:17" ht="12.75" customHeight="1" thickBot="1" x14ac:dyDescent="0.25">
      <c r="B28" s="2" t="s">
        <v>0</v>
      </c>
      <c r="C28" s="54" t="s">
        <v>1</v>
      </c>
      <c r="D28" s="54" t="s">
        <v>2</v>
      </c>
      <c r="E28" s="54" t="s">
        <v>3</v>
      </c>
      <c r="F28" s="54" t="s">
        <v>4</v>
      </c>
      <c r="G28" s="3" t="s">
        <v>28</v>
      </c>
      <c r="H28" s="92"/>
      <c r="I28" s="116" t="s">
        <v>35</v>
      </c>
      <c r="J28" s="113" t="s">
        <v>1</v>
      </c>
      <c r="K28" s="113" t="s">
        <v>2</v>
      </c>
      <c r="L28" s="16" t="s">
        <v>36</v>
      </c>
      <c r="M28" s="111" t="s">
        <v>37</v>
      </c>
      <c r="N28" s="112"/>
      <c r="O28" s="111" t="s">
        <v>38</v>
      </c>
      <c r="P28" s="112"/>
      <c r="Q28" s="17" t="s">
        <v>39</v>
      </c>
    </row>
    <row r="29" spans="2:17" ht="15" customHeight="1" x14ac:dyDescent="0.2">
      <c r="B29" s="4" t="s">
        <v>5</v>
      </c>
      <c r="C29" s="1">
        <v>0</v>
      </c>
      <c r="D29" s="1">
        <v>1</v>
      </c>
      <c r="E29" s="24">
        <v>3.9145907473309611</v>
      </c>
      <c r="F29" s="25">
        <f>E29/1000</f>
        <v>3.9145907473309609E-3</v>
      </c>
      <c r="G29" s="26">
        <f>D29*F29/(1+D29*(1-C26)*F29)</f>
        <v>3.9008475477853824E-3</v>
      </c>
      <c r="H29" s="92"/>
      <c r="I29" s="117"/>
      <c r="J29" s="114"/>
      <c r="K29" s="114"/>
      <c r="L29" s="12" t="s">
        <v>45</v>
      </c>
      <c r="M29" s="10" t="s">
        <v>40</v>
      </c>
      <c r="N29" s="14" t="s">
        <v>41</v>
      </c>
      <c r="O29" s="10" t="s">
        <v>42</v>
      </c>
      <c r="P29" s="14" t="s">
        <v>43</v>
      </c>
      <c r="Q29" s="52" t="s">
        <v>44</v>
      </c>
    </row>
    <row r="30" spans="2:17" ht="15" customHeight="1" x14ac:dyDescent="0.2">
      <c r="B30" s="5" t="s">
        <v>7</v>
      </c>
      <c r="C30" s="58">
        <v>1</v>
      </c>
      <c r="D30" s="58">
        <v>4</v>
      </c>
      <c r="E30" s="27">
        <v>0.14613354982748125</v>
      </c>
      <c r="F30" s="28">
        <f t="shared" ref="F30:F45" si="2">E30/1000</f>
        <v>1.4613354982748124E-4</v>
      </c>
      <c r="G30" s="29">
        <f>D30*F30/(1+D30*(1-E26)*F30)</f>
        <v>5.8432926304717982E-4</v>
      </c>
      <c r="H30" s="92"/>
      <c r="I30" s="117"/>
      <c r="J30" s="114"/>
      <c r="K30" s="114"/>
      <c r="L30" s="13" t="s">
        <v>46</v>
      </c>
      <c r="M30" s="11" t="s">
        <v>47</v>
      </c>
      <c r="N30" s="13" t="s">
        <v>48</v>
      </c>
      <c r="O30" s="11" t="s">
        <v>56</v>
      </c>
      <c r="P30" s="13" t="s">
        <v>49</v>
      </c>
      <c r="Q30" s="52" t="s">
        <v>50</v>
      </c>
    </row>
    <row r="31" spans="2:17" ht="16.5" thickBot="1" x14ac:dyDescent="0.25">
      <c r="B31" s="5" t="s">
        <v>8</v>
      </c>
      <c r="C31" s="58">
        <v>5</v>
      </c>
      <c r="D31" s="58">
        <v>5</v>
      </c>
      <c r="E31" s="27">
        <v>7.3001581700936846E-2</v>
      </c>
      <c r="F31" s="28">
        <f t="shared" si="2"/>
        <v>7.3001581700936851E-5</v>
      </c>
      <c r="G31" s="29">
        <f t="shared" ref="G31:G45" si="3">D31*F31/(1+D31*(1-$H$26)*F31)</f>
        <v>3.6494130527340185E-4</v>
      </c>
      <c r="H31" s="92"/>
      <c r="I31" s="118"/>
      <c r="J31" s="115"/>
      <c r="K31" s="115"/>
      <c r="L31" s="18" t="s">
        <v>28</v>
      </c>
      <c r="M31" s="50" t="s">
        <v>30</v>
      </c>
      <c r="N31" s="18" t="s">
        <v>31</v>
      </c>
      <c r="O31" s="18" t="s">
        <v>32</v>
      </c>
      <c r="P31" s="51" t="s">
        <v>33</v>
      </c>
      <c r="Q31" s="53" t="s">
        <v>34</v>
      </c>
    </row>
    <row r="32" spans="2:17" x14ac:dyDescent="0.2">
      <c r="B32" s="5" t="s">
        <v>9</v>
      </c>
      <c r="C32" s="58">
        <v>10</v>
      </c>
      <c r="D32" s="58">
        <v>5</v>
      </c>
      <c r="E32" s="27">
        <v>0.12640322629187106</v>
      </c>
      <c r="F32" s="28">
        <f t="shared" si="2"/>
        <v>1.2640322629187107E-4</v>
      </c>
      <c r="G32" s="29">
        <f t="shared" si="3"/>
        <v>6.3181647235802932E-4</v>
      </c>
      <c r="H32" s="92"/>
      <c r="I32" s="41" t="s">
        <v>5</v>
      </c>
      <c r="J32" s="21">
        <v>0</v>
      </c>
      <c r="K32" s="21">
        <v>1</v>
      </c>
      <c r="L32" s="33">
        <f>G29</f>
        <v>3.9008475477853824E-3</v>
      </c>
      <c r="M32" s="34">
        <v>100000</v>
      </c>
      <c r="N32" s="35">
        <f>L32*M32</f>
        <v>390.08475477853824</v>
      </c>
      <c r="O32" s="35">
        <f>K32*(M33+(C26*N32))</f>
        <v>99648.923720699313</v>
      </c>
      <c r="P32" s="35">
        <f>SUM($O$32:$O$49)</f>
        <v>8138529.7377957227</v>
      </c>
      <c r="Q32" s="42">
        <f>P32/M32</f>
        <v>81.38529737795723</v>
      </c>
    </row>
    <row r="33" spans="2:17" x14ac:dyDescent="0.2">
      <c r="B33" s="5" t="s">
        <v>10</v>
      </c>
      <c r="C33" s="58">
        <v>15</v>
      </c>
      <c r="D33" s="58">
        <v>5</v>
      </c>
      <c r="E33" s="27">
        <v>0.38693846734616838</v>
      </c>
      <c r="F33" s="28">
        <f t="shared" si="2"/>
        <v>3.8693846734616836E-4</v>
      </c>
      <c r="G33" s="29">
        <f t="shared" si="3"/>
        <v>1.9328226281673541E-3</v>
      </c>
      <c r="H33" s="92"/>
      <c r="I33" s="43" t="s">
        <v>7</v>
      </c>
      <c r="J33" s="22">
        <v>1</v>
      </c>
      <c r="K33" s="22">
        <v>4</v>
      </c>
      <c r="L33" s="36">
        <f t="shared" ref="L33:L48" si="4">G30</f>
        <v>5.8432926304717982E-4</v>
      </c>
      <c r="M33" s="37">
        <f>M32-N32</f>
        <v>99609.915245221462</v>
      </c>
      <c r="N33" s="35">
        <f t="shared" ref="N33:N49" si="5">L33*M33</f>
        <v>58.2049883674323</v>
      </c>
      <c r="O33" s="35">
        <f>K33*(M34+(E26*N33))</f>
        <v>398299.96900880401</v>
      </c>
      <c r="P33" s="35">
        <f>SUM($O$33:$O$49)</f>
        <v>8038880.8140750229</v>
      </c>
      <c r="Q33" s="42">
        <f t="shared" ref="Q33:Q49" si="6">P33/M33</f>
        <v>80.703620661505056</v>
      </c>
    </row>
    <row r="34" spans="2:17" x14ac:dyDescent="0.2">
      <c r="B34" s="5" t="s">
        <v>11</v>
      </c>
      <c r="C34" s="58">
        <v>20</v>
      </c>
      <c r="D34" s="58">
        <v>5</v>
      </c>
      <c r="E34" s="27">
        <v>0.50494610955263541</v>
      </c>
      <c r="F34" s="28">
        <f t="shared" si="2"/>
        <v>5.0494610955263545E-4</v>
      </c>
      <c r="G34" s="29">
        <f t="shared" si="3"/>
        <v>2.5215474338462439E-3</v>
      </c>
      <c r="H34" s="92"/>
      <c r="I34" s="43" t="s">
        <v>8</v>
      </c>
      <c r="J34" s="22">
        <v>5</v>
      </c>
      <c r="K34" s="22">
        <v>5</v>
      </c>
      <c r="L34" s="36">
        <f t="shared" si="4"/>
        <v>3.6494130527340185E-4</v>
      </c>
      <c r="M34" s="37">
        <f t="shared" ref="M34:M49" si="7">M33-N33</f>
        <v>99551.710256854029</v>
      </c>
      <c r="N34" s="35">
        <f t="shared" si="5"/>
        <v>36.330531083335813</v>
      </c>
      <c r="O34" s="35">
        <f t="shared" ref="O34:O48" si="8">K34*(M35+($H$26*N34))</f>
        <v>497667.72495656181</v>
      </c>
      <c r="P34" s="35">
        <f>SUM($O$34:$O$49)</f>
        <v>7640580.8450662186</v>
      </c>
      <c r="Q34" s="42">
        <f t="shared" si="6"/>
        <v>76.749870246856688</v>
      </c>
    </row>
    <row r="35" spans="2:17" x14ac:dyDescent="0.2">
      <c r="B35" s="5" t="s">
        <v>12</v>
      </c>
      <c r="C35" s="58">
        <v>25</v>
      </c>
      <c r="D35" s="58">
        <v>5</v>
      </c>
      <c r="E35" s="27">
        <v>0.53636220224010089</v>
      </c>
      <c r="F35" s="28">
        <f t="shared" si="2"/>
        <v>5.3636220224010094E-4</v>
      </c>
      <c r="G35" s="29">
        <f t="shared" si="3"/>
        <v>2.6782197715636076E-3</v>
      </c>
      <c r="H35" s="92"/>
      <c r="I35" s="43" t="s">
        <v>9</v>
      </c>
      <c r="J35" s="22">
        <v>10</v>
      </c>
      <c r="K35" s="22">
        <v>5</v>
      </c>
      <c r="L35" s="36">
        <f t="shared" si="4"/>
        <v>6.3181647235802932E-4</v>
      </c>
      <c r="M35" s="37">
        <f t="shared" si="7"/>
        <v>99515.37972577069</v>
      </c>
      <c r="N35" s="35">
        <f t="shared" si="5"/>
        <v>62.87545616370619</v>
      </c>
      <c r="O35" s="35">
        <f t="shared" si="8"/>
        <v>497419.70998844423</v>
      </c>
      <c r="P35" s="35">
        <f>SUM($O$35:$O$49)</f>
        <v>7142913.1201096568</v>
      </c>
      <c r="Q35" s="42">
        <f t="shared" si="6"/>
        <v>71.776976983788913</v>
      </c>
    </row>
    <row r="36" spans="2:17" x14ac:dyDescent="0.2">
      <c r="B36" s="5" t="s">
        <v>13</v>
      </c>
      <c r="C36" s="58">
        <v>30</v>
      </c>
      <c r="D36" s="58">
        <v>5</v>
      </c>
      <c r="E36" s="27">
        <v>0.53875844322933419</v>
      </c>
      <c r="F36" s="28">
        <f t="shared" si="2"/>
        <v>5.3875844322933417E-4</v>
      </c>
      <c r="G36" s="29">
        <f t="shared" si="3"/>
        <v>2.6901688382084277E-3</v>
      </c>
      <c r="H36" s="92"/>
      <c r="I36" s="43" t="s">
        <v>10</v>
      </c>
      <c r="J36" s="22">
        <v>15</v>
      </c>
      <c r="K36" s="22">
        <v>5</v>
      </c>
      <c r="L36" s="36">
        <f t="shared" si="4"/>
        <v>1.9328226281673541E-3</v>
      </c>
      <c r="M36" s="37">
        <f t="shared" si="7"/>
        <v>99452.504269606987</v>
      </c>
      <c r="N36" s="35">
        <f t="shared" si="5"/>
        <v>192.22405068020677</v>
      </c>
      <c r="O36" s="35">
        <f t="shared" si="8"/>
        <v>496781.96122133441</v>
      </c>
      <c r="P36" s="35">
        <f>SUM($O$36:$O$49)</f>
        <v>6645493.4101212127</v>
      </c>
      <c r="Q36" s="42">
        <f t="shared" si="6"/>
        <v>66.820774991305043</v>
      </c>
    </row>
    <row r="37" spans="2:17" x14ac:dyDescent="0.2">
      <c r="B37" s="5" t="s">
        <v>14</v>
      </c>
      <c r="C37" s="58">
        <v>35</v>
      </c>
      <c r="D37" s="58">
        <v>5</v>
      </c>
      <c r="E37" s="27">
        <v>0.7705402741689813</v>
      </c>
      <c r="F37" s="28">
        <f t="shared" si="2"/>
        <v>7.7054027416898125E-4</v>
      </c>
      <c r="G37" s="29">
        <f t="shared" si="3"/>
        <v>3.8452939861390568E-3</v>
      </c>
      <c r="H37" s="92"/>
      <c r="I37" s="43" t="s">
        <v>11</v>
      </c>
      <c r="J37" s="22">
        <v>20</v>
      </c>
      <c r="K37" s="22">
        <v>5</v>
      </c>
      <c r="L37" s="36">
        <f t="shared" si="4"/>
        <v>2.5215474338462439E-3</v>
      </c>
      <c r="M37" s="37">
        <f t="shared" si="7"/>
        <v>99260.280218926782</v>
      </c>
      <c r="N37" s="35">
        <f t="shared" si="5"/>
        <v>250.28950486889391</v>
      </c>
      <c r="O37" s="35">
        <f t="shared" si="8"/>
        <v>495675.67733246164</v>
      </c>
      <c r="P37" s="35">
        <f>SUM($O$37:$O$49)</f>
        <v>6148711.4488998782</v>
      </c>
      <c r="Q37" s="42">
        <f t="shared" si="6"/>
        <v>61.945336395770646</v>
      </c>
    </row>
    <row r="38" spans="2:17" x14ac:dyDescent="0.2">
      <c r="B38" s="5" t="s">
        <v>15</v>
      </c>
      <c r="C38" s="58">
        <v>40</v>
      </c>
      <c r="D38" s="58">
        <v>5</v>
      </c>
      <c r="E38" s="27">
        <v>1.1379109122738766</v>
      </c>
      <c r="F38" s="28">
        <f t="shared" si="2"/>
        <v>1.1379109122738767E-3</v>
      </c>
      <c r="G38" s="29">
        <f t="shared" si="3"/>
        <v>5.6734149593890169E-3</v>
      </c>
      <c r="H38" s="92"/>
      <c r="I38" s="43" t="s">
        <v>12</v>
      </c>
      <c r="J38" s="22">
        <v>25</v>
      </c>
      <c r="K38" s="22">
        <v>5</v>
      </c>
      <c r="L38" s="36">
        <f t="shared" si="4"/>
        <v>2.6782197715636076E-3</v>
      </c>
      <c r="M38" s="37">
        <f t="shared" si="7"/>
        <v>99009.990714057887</v>
      </c>
      <c r="N38" s="35">
        <f t="shared" si="5"/>
        <v>265.17051471271901</v>
      </c>
      <c r="O38" s="35">
        <f t="shared" si="8"/>
        <v>494387.02728350763</v>
      </c>
      <c r="P38" s="35">
        <f>SUM($O$38:$O$49)</f>
        <v>5653035.7715674173</v>
      </c>
      <c r="Q38" s="42">
        <f t="shared" si="6"/>
        <v>57.095609552105266</v>
      </c>
    </row>
    <row r="39" spans="2:17" x14ac:dyDescent="0.2">
      <c r="B39" s="5" t="s">
        <v>16</v>
      </c>
      <c r="C39" s="58">
        <v>45</v>
      </c>
      <c r="D39" s="58">
        <v>5</v>
      </c>
      <c r="E39" s="27">
        <v>1.7988971585259288</v>
      </c>
      <c r="F39" s="28">
        <f t="shared" si="2"/>
        <v>1.7988971585259288E-3</v>
      </c>
      <c r="G39" s="29">
        <f t="shared" si="3"/>
        <v>8.9542165060557209E-3</v>
      </c>
      <c r="H39" s="92"/>
      <c r="I39" s="43" t="s">
        <v>13</v>
      </c>
      <c r="J39" s="22">
        <v>30</v>
      </c>
      <c r="K39" s="22">
        <v>5</v>
      </c>
      <c r="L39" s="36">
        <f t="shared" si="4"/>
        <v>2.6901688382084277E-3</v>
      </c>
      <c r="M39" s="37">
        <f t="shared" si="7"/>
        <v>98744.820199345166</v>
      </c>
      <c r="N39" s="35">
        <f t="shared" si="5"/>
        <v>265.64023823477248</v>
      </c>
      <c r="O39" s="35">
        <f t="shared" si="8"/>
        <v>493060.00040113891</v>
      </c>
      <c r="P39" s="35">
        <f>SUM($O$39:$O$49)</f>
        <v>5158648.7442839099</v>
      </c>
      <c r="Q39" s="42">
        <f t="shared" si="6"/>
        <v>52.242221251400082</v>
      </c>
    </row>
    <row r="40" spans="2:17" x14ac:dyDescent="0.2">
      <c r="B40" s="5" t="s">
        <v>17</v>
      </c>
      <c r="C40" s="58">
        <v>50</v>
      </c>
      <c r="D40" s="58">
        <v>5</v>
      </c>
      <c r="E40" s="27">
        <v>2.8156054471843945</v>
      </c>
      <c r="F40" s="28">
        <f t="shared" si="2"/>
        <v>2.8156054471843947E-3</v>
      </c>
      <c r="G40" s="29">
        <f t="shared" si="3"/>
        <v>1.3979624468911326E-2</v>
      </c>
      <c r="H40" s="92"/>
      <c r="I40" s="43" t="s">
        <v>14</v>
      </c>
      <c r="J40" s="22">
        <v>35</v>
      </c>
      <c r="K40" s="22">
        <v>5</v>
      </c>
      <c r="L40" s="36">
        <f t="shared" si="4"/>
        <v>3.8452939861390568E-3</v>
      </c>
      <c r="M40" s="37">
        <f t="shared" si="7"/>
        <v>98479.179961110392</v>
      </c>
      <c r="N40" s="35">
        <f t="shared" si="5"/>
        <v>378.68139846436372</v>
      </c>
      <c r="O40" s="35">
        <f t="shared" si="8"/>
        <v>491449.19630939106</v>
      </c>
      <c r="P40" s="35">
        <f>SUM($O$40:$O$49)</f>
        <v>4665588.7438827707</v>
      </c>
      <c r="Q40" s="42">
        <f t="shared" si="6"/>
        <v>47.376397180858127</v>
      </c>
    </row>
    <row r="41" spans="2:17" x14ac:dyDescent="0.2">
      <c r="B41" s="5" t="s">
        <v>18</v>
      </c>
      <c r="C41" s="58">
        <v>55</v>
      </c>
      <c r="D41" s="58">
        <v>5</v>
      </c>
      <c r="E41" s="27">
        <v>4.2747904062893465</v>
      </c>
      <c r="F41" s="28">
        <f t="shared" si="2"/>
        <v>4.2747904062893465E-3</v>
      </c>
      <c r="G41" s="29">
        <f t="shared" si="3"/>
        <v>2.1147944456260823E-2</v>
      </c>
      <c r="H41" s="92"/>
      <c r="I41" s="43" t="s">
        <v>15</v>
      </c>
      <c r="J41" s="22">
        <v>40</v>
      </c>
      <c r="K41" s="22">
        <v>5</v>
      </c>
      <c r="L41" s="36">
        <f t="shared" si="4"/>
        <v>5.6734149593890169E-3</v>
      </c>
      <c r="M41" s="37">
        <f t="shared" si="7"/>
        <v>98100.498562646026</v>
      </c>
      <c r="N41" s="35">
        <f t="shared" si="5"/>
        <v>556.56483606883671</v>
      </c>
      <c r="O41" s="35">
        <f t="shared" si="8"/>
        <v>489111.08072305802</v>
      </c>
      <c r="P41" s="35">
        <f>SUM($O$41:$O$49)</f>
        <v>4174139.5475733802</v>
      </c>
      <c r="Q41" s="42">
        <f t="shared" si="6"/>
        <v>42.549626237707805</v>
      </c>
    </row>
    <row r="42" spans="2:17" x14ac:dyDescent="0.2">
      <c r="B42" s="5" t="s">
        <v>19</v>
      </c>
      <c r="C42" s="58">
        <v>60</v>
      </c>
      <c r="D42" s="58">
        <v>5</v>
      </c>
      <c r="E42" s="27">
        <v>6.2254395036194419</v>
      </c>
      <c r="F42" s="28">
        <f t="shared" si="2"/>
        <v>6.2254395036194423E-3</v>
      </c>
      <c r="G42" s="29">
        <f t="shared" si="3"/>
        <v>3.0650170561580373E-2</v>
      </c>
      <c r="H42" s="92"/>
      <c r="I42" s="43" t="s">
        <v>16</v>
      </c>
      <c r="J42" s="22">
        <v>45</v>
      </c>
      <c r="K42" s="22">
        <v>5</v>
      </c>
      <c r="L42" s="36">
        <f t="shared" si="4"/>
        <v>8.9542165060557209E-3</v>
      </c>
      <c r="M42" s="37">
        <f t="shared" si="7"/>
        <v>97543.93372657719</v>
      </c>
      <c r="N42" s="35">
        <f t="shared" si="5"/>
        <v>873.42950144012275</v>
      </c>
      <c r="O42" s="35">
        <f t="shared" si="8"/>
        <v>485536.09487928561</v>
      </c>
      <c r="P42" s="35">
        <f>SUM($O$42:$O$49)</f>
        <v>3685028.4668503217</v>
      </c>
      <c r="Q42" s="42">
        <f t="shared" si="6"/>
        <v>37.778140844511427</v>
      </c>
    </row>
    <row r="43" spans="2:17" x14ac:dyDescent="0.2">
      <c r="B43" s="5" t="s">
        <v>20</v>
      </c>
      <c r="C43" s="58">
        <v>65</v>
      </c>
      <c r="D43" s="58">
        <v>5</v>
      </c>
      <c r="E43" s="27">
        <v>9.7698126946882962</v>
      </c>
      <c r="F43" s="28">
        <f t="shared" si="2"/>
        <v>9.7698126946882957E-3</v>
      </c>
      <c r="G43" s="29">
        <f t="shared" si="3"/>
        <v>4.7684394467425534E-2</v>
      </c>
      <c r="H43" s="92"/>
      <c r="I43" s="43" t="s">
        <v>17</v>
      </c>
      <c r="J43" s="22">
        <v>50</v>
      </c>
      <c r="K43" s="22">
        <v>5</v>
      </c>
      <c r="L43" s="36">
        <f t="shared" si="4"/>
        <v>1.3979624468911326E-2</v>
      </c>
      <c r="M43" s="37">
        <f t="shared" si="7"/>
        <v>96670.504225137061</v>
      </c>
      <c r="N43" s="35">
        <f t="shared" si="5"/>
        <v>1351.4173462877218</v>
      </c>
      <c r="O43" s="35">
        <f t="shared" si="8"/>
        <v>479973.97775996599</v>
      </c>
      <c r="P43" s="35">
        <f>SUM($O$43:$O$49)</f>
        <v>3199492.3719710363</v>
      </c>
      <c r="Q43" s="42">
        <f t="shared" si="6"/>
        <v>33.096883042212141</v>
      </c>
    </row>
    <row r="44" spans="2:17" x14ac:dyDescent="0.2">
      <c r="B44" s="5" t="s">
        <v>21</v>
      </c>
      <c r="C44" s="58">
        <v>70</v>
      </c>
      <c r="D44" s="58">
        <v>5</v>
      </c>
      <c r="E44" s="27">
        <v>15.397655036022037</v>
      </c>
      <c r="F44" s="28">
        <f t="shared" si="2"/>
        <v>1.5397655036022037E-2</v>
      </c>
      <c r="G44" s="29">
        <f t="shared" si="3"/>
        <v>7.4134530367952117E-2</v>
      </c>
      <c r="H44" s="92"/>
      <c r="I44" s="43" t="s">
        <v>18</v>
      </c>
      <c r="J44" s="22">
        <v>55</v>
      </c>
      <c r="K44" s="22">
        <v>5</v>
      </c>
      <c r="L44" s="36">
        <f t="shared" si="4"/>
        <v>2.1147944456260823E-2</v>
      </c>
      <c r="M44" s="37">
        <f t="shared" si="7"/>
        <v>95319.086878849339</v>
      </c>
      <c r="N44" s="35">
        <f t="shared" si="5"/>
        <v>2015.8027549354056</v>
      </c>
      <c r="O44" s="35">
        <f t="shared" si="8"/>
        <v>471555.92750690819</v>
      </c>
      <c r="P44" s="35">
        <f>SUM($O$44:$O$49)</f>
        <v>2719518.3942110706</v>
      </c>
      <c r="Q44" s="42">
        <f t="shared" si="6"/>
        <v>28.530680299818457</v>
      </c>
    </row>
    <row r="45" spans="2:17" x14ac:dyDescent="0.2">
      <c r="B45" s="5" t="s">
        <v>22</v>
      </c>
      <c r="C45" s="58">
        <v>75</v>
      </c>
      <c r="D45" s="58">
        <v>5</v>
      </c>
      <c r="E45" s="27">
        <v>27.434776669853843</v>
      </c>
      <c r="F45" s="28">
        <f t="shared" si="2"/>
        <v>2.7434776669853844E-2</v>
      </c>
      <c r="G45" s="29">
        <f t="shared" si="3"/>
        <v>0.12836941759207479</v>
      </c>
      <c r="H45" s="92"/>
      <c r="I45" s="43" t="s">
        <v>19</v>
      </c>
      <c r="J45" s="22">
        <v>60</v>
      </c>
      <c r="K45" s="22">
        <v>5</v>
      </c>
      <c r="L45" s="36">
        <f t="shared" si="4"/>
        <v>3.0650170561580373E-2</v>
      </c>
      <c r="M45" s="37">
        <f t="shared" si="7"/>
        <v>93303.284123913938</v>
      </c>
      <c r="N45" s="35">
        <f t="shared" si="5"/>
        <v>2859.7615723535564</v>
      </c>
      <c r="O45" s="35">
        <f t="shared" si="8"/>
        <v>459367.01668868586</v>
      </c>
      <c r="P45" s="35">
        <f>SUM($O$45:$O$49)</f>
        <v>2247962.4667041618</v>
      </c>
      <c r="Q45" s="42">
        <f t="shared" si="6"/>
        <v>24.093069046944745</v>
      </c>
    </row>
    <row r="46" spans="2:17" ht="13.5" thickBot="1" x14ac:dyDescent="0.25">
      <c r="B46" s="6" t="s">
        <v>23</v>
      </c>
      <c r="C46" s="7">
        <v>80</v>
      </c>
      <c r="D46" s="7" t="s">
        <v>24</v>
      </c>
      <c r="E46" s="30">
        <v>124.27042801556421</v>
      </c>
      <c r="F46" s="31">
        <f>E46/1000</f>
        <v>0.1242704280155642</v>
      </c>
      <c r="G46" s="32">
        <v>1</v>
      </c>
      <c r="H46" s="92"/>
      <c r="I46" s="43" t="s">
        <v>20</v>
      </c>
      <c r="J46" s="22">
        <v>65</v>
      </c>
      <c r="K46" s="22">
        <v>5</v>
      </c>
      <c r="L46" s="36">
        <f t="shared" si="4"/>
        <v>4.7684394467425534E-2</v>
      </c>
      <c r="M46" s="37">
        <f t="shared" si="7"/>
        <v>90443.522551560382</v>
      </c>
      <c r="N46" s="35">
        <f t="shared" si="5"/>
        <v>4312.7446063721027</v>
      </c>
      <c r="O46" s="35">
        <f t="shared" si="8"/>
        <v>441435.75124187168</v>
      </c>
      <c r="P46" s="35">
        <f>SUM($O$46:$O$49)</f>
        <v>1788595.450015476</v>
      </c>
      <c r="Q46" s="42">
        <f t="shared" si="6"/>
        <v>19.775826942121</v>
      </c>
    </row>
    <row r="47" spans="2:17" x14ac:dyDescent="0.2">
      <c r="B47" s="94"/>
      <c r="C47" s="92"/>
      <c r="D47" s="92"/>
      <c r="E47" s="92"/>
      <c r="F47" s="92"/>
      <c r="G47" s="92"/>
      <c r="H47" s="92"/>
      <c r="I47" s="43" t="s">
        <v>21</v>
      </c>
      <c r="J47" s="22">
        <v>70</v>
      </c>
      <c r="K47" s="22">
        <v>5</v>
      </c>
      <c r="L47" s="36">
        <f t="shared" si="4"/>
        <v>7.4134530367952117E-2</v>
      </c>
      <c r="M47" s="37">
        <f t="shared" si="7"/>
        <v>86130.777945188282</v>
      </c>
      <c r="N47" s="35">
        <f t="shared" si="5"/>
        <v>6385.264773192901</v>
      </c>
      <c r="O47" s="35">
        <f t="shared" si="8"/>
        <v>414690.72779295914</v>
      </c>
      <c r="P47" s="35">
        <f>SUM($O$47:$O$49)</f>
        <v>1347159.6987736044</v>
      </c>
      <c r="Q47" s="42">
        <f t="shared" si="6"/>
        <v>15.640863009862827</v>
      </c>
    </row>
    <row r="48" spans="2:17" x14ac:dyDescent="0.2">
      <c r="B48" s="94"/>
      <c r="C48" s="92"/>
      <c r="D48" s="92"/>
      <c r="E48" s="92"/>
      <c r="F48" s="92"/>
      <c r="G48" s="92"/>
      <c r="H48" s="92"/>
      <c r="I48" s="43" t="s">
        <v>22</v>
      </c>
      <c r="J48" s="22">
        <v>75</v>
      </c>
      <c r="K48" s="22">
        <v>5</v>
      </c>
      <c r="L48" s="36">
        <f t="shared" si="4"/>
        <v>0.12836941759207479</v>
      </c>
      <c r="M48" s="37">
        <f t="shared" si="7"/>
        <v>79745.513171995379</v>
      </c>
      <c r="N48" s="35">
        <f t="shared" si="5"/>
        <v>10236.885081470176</v>
      </c>
      <c r="O48" s="35">
        <f t="shared" si="8"/>
        <v>373135.35315630148</v>
      </c>
      <c r="P48" s="35">
        <f>SUM($O$48:$O$49)</f>
        <v>932468.97098064516</v>
      </c>
      <c r="Q48" s="42">
        <f t="shared" si="6"/>
        <v>11.693058755161474</v>
      </c>
    </row>
    <row r="49" spans="2:17" ht="13.5" thickBot="1" x14ac:dyDescent="0.25">
      <c r="B49" s="95"/>
      <c r="C49" s="93"/>
      <c r="D49" s="93"/>
      <c r="E49" s="93"/>
      <c r="F49" s="93"/>
      <c r="G49" s="93"/>
      <c r="H49" s="93"/>
      <c r="I49" s="44" t="s">
        <v>23</v>
      </c>
      <c r="J49" s="45">
        <v>80</v>
      </c>
      <c r="K49" s="45" t="s">
        <v>24</v>
      </c>
      <c r="L49" s="46">
        <v>1</v>
      </c>
      <c r="M49" s="47">
        <f t="shared" si="7"/>
        <v>69508.628090525206</v>
      </c>
      <c r="N49" s="48">
        <f t="shared" si="5"/>
        <v>69508.628090525206</v>
      </c>
      <c r="O49" s="48">
        <f>N49/F46</f>
        <v>559333.61782434373</v>
      </c>
      <c r="P49" s="48">
        <f>O49</f>
        <v>559333.61782434373</v>
      </c>
      <c r="Q49" s="49">
        <f t="shared" si="6"/>
        <v>8.0469667318982392</v>
      </c>
    </row>
    <row r="50" spans="2:17" x14ac:dyDescent="0.2">
      <c r="B50" s="8"/>
    </row>
    <row r="51" spans="2:17" x14ac:dyDescent="0.2">
      <c r="B51" s="8"/>
    </row>
  </sheetData>
  <mergeCells count="16">
    <mergeCell ref="I27:Q27"/>
    <mergeCell ref="B27:G27"/>
    <mergeCell ref="O24:P24"/>
    <mergeCell ref="O28:P28"/>
    <mergeCell ref="M28:N28"/>
    <mergeCell ref="K28:K31"/>
    <mergeCell ref="J28:J31"/>
    <mergeCell ref="I28:I31"/>
    <mergeCell ref="C3:D3"/>
    <mergeCell ref="B3:B4"/>
    <mergeCell ref="E3:G3"/>
    <mergeCell ref="M24:N24"/>
    <mergeCell ref="I3:L3"/>
    <mergeCell ref="M3:P3"/>
    <mergeCell ref="I24:J24"/>
    <mergeCell ref="K24:L24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1"/>
  <sheetViews>
    <sheetView topLeftCell="D1" workbookViewId="0">
      <selection activeCell="R5" sqref="R5"/>
    </sheetView>
  </sheetViews>
  <sheetFormatPr defaultRowHeight="12.75" x14ac:dyDescent="0.2"/>
  <cols>
    <col min="1" max="1" width="9.140625" style="8"/>
    <col min="2" max="2" width="10.7109375" style="9" customWidth="1"/>
    <col min="3" max="7" width="12.7109375" style="8" customWidth="1"/>
    <col min="8" max="8" width="3.7109375" style="8" customWidth="1"/>
    <col min="9" max="17" width="20.7109375" style="8" customWidth="1"/>
    <col min="18" max="16384" width="9.140625" style="8"/>
  </cols>
  <sheetData>
    <row r="2" spans="1:18" s="20" customFormat="1" ht="12.75" customHeight="1" thickBot="1" x14ac:dyDescent="0.3"/>
    <row r="3" spans="1:18" s="57" customFormat="1" ht="12.75" customHeight="1" thickBot="1" x14ac:dyDescent="0.25">
      <c r="B3" s="99" t="s">
        <v>0</v>
      </c>
      <c r="C3" s="97" t="s">
        <v>54</v>
      </c>
      <c r="D3" s="98"/>
      <c r="E3" s="98" t="s">
        <v>72</v>
      </c>
      <c r="F3" s="98"/>
      <c r="G3" s="101"/>
      <c r="H3" s="96"/>
      <c r="I3" s="97" t="s">
        <v>60</v>
      </c>
      <c r="J3" s="98"/>
      <c r="K3" s="98"/>
      <c r="L3" s="101"/>
      <c r="M3" s="97" t="s">
        <v>62</v>
      </c>
      <c r="N3" s="98"/>
      <c r="O3" s="98"/>
      <c r="P3" s="101"/>
    </row>
    <row r="4" spans="1:18" ht="19.5" thickBot="1" x14ac:dyDescent="0.3">
      <c r="A4" s="8" t="s">
        <v>6</v>
      </c>
      <c r="B4" s="100"/>
      <c r="C4" s="67" t="s">
        <v>51</v>
      </c>
      <c r="D4" s="68" t="s">
        <v>53</v>
      </c>
      <c r="E4" s="68" t="s">
        <v>51</v>
      </c>
      <c r="F4" s="69" t="s">
        <v>52</v>
      </c>
      <c r="G4" s="70" t="s">
        <v>53</v>
      </c>
      <c r="H4" s="92"/>
      <c r="I4" s="79" t="s">
        <v>0</v>
      </c>
      <c r="J4" s="68" t="s">
        <v>57</v>
      </c>
      <c r="K4" s="68" t="s">
        <v>73</v>
      </c>
      <c r="L4" s="70" t="s">
        <v>74</v>
      </c>
      <c r="M4" s="79" t="s">
        <v>0</v>
      </c>
      <c r="N4" s="68" t="s">
        <v>61</v>
      </c>
      <c r="O4" s="68" t="s">
        <v>75</v>
      </c>
      <c r="P4" s="70" t="s">
        <v>74</v>
      </c>
      <c r="Q4" s="59" t="s">
        <v>76</v>
      </c>
      <c r="R4" s="62">
        <f>F23/P23</f>
        <v>0.67410210908688639</v>
      </c>
    </row>
    <row r="5" spans="1:18" x14ac:dyDescent="0.2">
      <c r="B5" s="83" t="s">
        <v>5</v>
      </c>
      <c r="C5" s="71">
        <v>73642</v>
      </c>
      <c r="D5" s="65">
        <v>25.202093296273901</v>
      </c>
      <c r="E5" s="34">
        <v>1037</v>
      </c>
      <c r="F5" s="19">
        <v>8</v>
      </c>
      <c r="G5" s="72">
        <v>7.714561234329798</v>
      </c>
      <c r="H5" s="92"/>
      <c r="I5" s="4" t="s">
        <v>5</v>
      </c>
      <c r="J5" s="64">
        <v>1037</v>
      </c>
      <c r="K5" s="66">
        <v>7.714561234329798</v>
      </c>
      <c r="L5" s="80">
        <f>(J5*K5)/1000</f>
        <v>8.0000000000000018</v>
      </c>
      <c r="M5" s="4" t="s">
        <v>5</v>
      </c>
      <c r="N5" s="65">
        <v>25.202093296273901</v>
      </c>
      <c r="O5" s="34">
        <v>1037</v>
      </c>
      <c r="P5" s="80">
        <f>(N5*O5)/1000</f>
        <v>26.134570748236033</v>
      </c>
      <c r="Q5" s="61" t="s">
        <v>64</v>
      </c>
      <c r="R5" s="15">
        <v>8.5899853341713808</v>
      </c>
    </row>
    <row r="6" spans="1:18" x14ac:dyDescent="0.2">
      <c r="B6" s="83" t="s">
        <v>7</v>
      </c>
      <c r="C6" s="73">
        <v>289470</v>
      </c>
      <c r="D6" s="23">
        <v>0.97104452374625805</v>
      </c>
      <c r="E6" s="40">
        <v>4100</v>
      </c>
      <c r="F6" s="55">
        <v>4</v>
      </c>
      <c r="G6" s="74">
        <v>0.97560975609756095</v>
      </c>
      <c r="H6" s="92"/>
      <c r="I6" s="5" t="s">
        <v>7</v>
      </c>
      <c r="J6" s="38">
        <v>4100</v>
      </c>
      <c r="K6" s="39">
        <v>0.97560975609756095</v>
      </c>
      <c r="L6" s="81">
        <f t="shared" ref="L6:L22" si="0">(J6*K6)/1000</f>
        <v>4</v>
      </c>
      <c r="M6" s="5" t="s">
        <v>7</v>
      </c>
      <c r="N6" s="23">
        <v>0.97104452374625805</v>
      </c>
      <c r="O6" s="40">
        <v>4100</v>
      </c>
      <c r="P6" s="81">
        <f t="shared" ref="P6:P22" si="1">(N6*O6)/1000</f>
        <v>3.9812825473596583</v>
      </c>
    </row>
    <row r="7" spans="1:18" x14ac:dyDescent="0.2">
      <c r="B7" s="83" t="s">
        <v>8</v>
      </c>
      <c r="C7" s="73">
        <v>390883</v>
      </c>
      <c r="D7" s="23">
        <v>0.526410783902172</v>
      </c>
      <c r="E7" s="40">
        <v>4782</v>
      </c>
      <c r="F7" s="55">
        <v>0</v>
      </c>
      <c r="G7" s="74">
        <v>0</v>
      </c>
      <c r="H7" s="92"/>
      <c r="I7" s="5" t="s">
        <v>8</v>
      </c>
      <c r="J7" s="38">
        <v>4782</v>
      </c>
      <c r="K7" s="39">
        <v>0</v>
      </c>
      <c r="L7" s="81">
        <f t="shared" si="0"/>
        <v>0</v>
      </c>
      <c r="M7" s="5" t="s">
        <v>8</v>
      </c>
      <c r="N7" s="23">
        <v>0.526410783902172</v>
      </c>
      <c r="O7" s="40">
        <v>4782</v>
      </c>
      <c r="P7" s="81">
        <f t="shared" si="1"/>
        <v>2.5172963686201864</v>
      </c>
    </row>
    <row r="8" spans="1:18" x14ac:dyDescent="0.2">
      <c r="B8" s="83" t="s">
        <v>9</v>
      </c>
      <c r="C8" s="73">
        <v>463552</v>
      </c>
      <c r="D8" s="23">
        <v>0.65409214584648701</v>
      </c>
      <c r="E8" s="40">
        <v>4210</v>
      </c>
      <c r="F8" s="55">
        <v>1</v>
      </c>
      <c r="G8" s="74">
        <v>0.23752969121140141</v>
      </c>
      <c r="H8" s="92"/>
      <c r="I8" s="5" t="s">
        <v>9</v>
      </c>
      <c r="J8" s="38">
        <v>4210</v>
      </c>
      <c r="K8" s="39">
        <v>0.23752969121140141</v>
      </c>
      <c r="L8" s="81">
        <f t="shared" si="0"/>
        <v>0.99999999999999989</v>
      </c>
      <c r="M8" s="5" t="s">
        <v>9</v>
      </c>
      <c r="N8" s="23">
        <v>0.65409214584648701</v>
      </c>
      <c r="O8" s="40">
        <v>4210</v>
      </c>
      <c r="P8" s="81">
        <f t="shared" si="1"/>
        <v>2.75372793401371</v>
      </c>
    </row>
    <row r="9" spans="1:18" x14ac:dyDescent="0.2">
      <c r="B9" s="83" t="s">
        <v>10</v>
      </c>
      <c r="C9" s="73">
        <v>469762</v>
      </c>
      <c r="D9" s="23">
        <v>2.77677501227465</v>
      </c>
      <c r="E9" s="40">
        <v>4425</v>
      </c>
      <c r="F9" s="55">
        <v>5</v>
      </c>
      <c r="G9" s="74">
        <v>1.1299435028248588</v>
      </c>
      <c r="H9" s="92"/>
      <c r="I9" s="5" t="s">
        <v>10</v>
      </c>
      <c r="J9" s="38">
        <v>4425</v>
      </c>
      <c r="K9" s="39">
        <v>1.1299435028248588</v>
      </c>
      <c r="L9" s="81">
        <f t="shared" si="0"/>
        <v>5</v>
      </c>
      <c r="M9" s="5" t="s">
        <v>10</v>
      </c>
      <c r="N9" s="23">
        <v>2.77677501227465</v>
      </c>
      <c r="O9" s="40">
        <v>4425</v>
      </c>
      <c r="P9" s="81">
        <f t="shared" si="1"/>
        <v>12.287229429315326</v>
      </c>
    </row>
    <row r="10" spans="1:18" x14ac:dyDescent="0.2">
      <c r="B10" s="83" t="s">
        <v>11</v>
      </c>
      <c r="C10" s="73">
        <v>451739</v>
      </c>
      <c r="D10" s="23">
        <v>3.8073028626644501</v>
      </c>
      <c r="E10" s="40">
        <v>4947</v>
      </c>
      <c r="F10" s="55">
        <v>10</v>
      </c>
      <c r="G10" s="74">
        <v>2.0214271275520521</v>
      </c>
      <c r="H10" s="92"/>
      <c r="I10" s="5" t="s">
        <v>11</v>
      </c>
      <c r="J10" s="38">
        <v>4947</v>
      </c>
      <c r="K10" s="39">
        <v>2.0214271275520521</v>
      </c>
      <c r="L10" s="81">
        <f t="shared" si="0"/>
        <v>10.000000000000002</v>
      </c>
      <c r="M10" s="5" t="s">
        <v>11</v>
      </c>
      <c r="N10" s="23">
        <v>3.8073028626644501</v>
      </c>
      <c r="O10" s="40">
        <v>4947</v>
      </c>
      <c r="P10" s="81">
        <f t="shared" si="1"/>
        <v>18.834727261601035</v>
      </c>
    </row>
    <row r="11" spans="1:18" x14ac:dyDescent="0.2">
      <c r="B11" s="83" t="s">
        <v>12</v>
      </c>
      <c r="C11" s="73">
        <v>436675</v>
      </c>
      <c r="D11" s="23">
        <v>3.8248671352271102</v>
      </c>
      <c r="E11" s="40">
        <v>4583</v>
      </c>
      <c r="F11" s="55">
        <v>14</v>
      </c>
      <c r="G11" s="74">
        <v>3.0547676194632336</v>
      </c>
      <c r="H11" s="92"/>
      <c r="I11" s="5" t="s">
        <v>12</v>
      </c>
      <c r="J11" s="38">
        <v>4583</v>
      </c>
      <c r="K11" s="39">
        <v>3.0547676194632336</v>
      </c>
      <c r="L11" s="81">
        <f t="shared" si="0"/>
        <v>14</v>
      </c>
      <c r="M11" s="5" t="s">
        <v>12</v>
      </c>
      <c r="N11" s="23">
        <v>3.8248671352271102</v>
      </c>
      <c r="O11" s="40">
        <v>4583</v>
      </c>
      <c r="P11" s="81">
        <f t="shared" si="1"/>
        <v>17.529366080745849</v>
      </c>
    </row>
    <row r="12" spans="1:18" x14ac:dyDescent="0.2">
      <c r="B12" s="83" t="s">
        <v>13</v>
      </c>
      <c r="C12" s="73">
        <v>410438</v>
      </c>
      <c r="D12" s="23">
        <v>3.9878569401400501</v>
      </c>
      <c r="E12" s="40">
        <v>3921</v>
      </c>
      <c r="F12" s="55">
        <v>11</v>
      </c>
      <c r="G12" s="74">
        <v>2.8054067839836776</v>
      </c>
      <c r="H12" s="92"/>
      <c r="I12" s="5" t="s">
        <v>13</v>
      </c>
      <c r="J12" s="38">
        <v>3921</v>
      </c>
      <c r="K12" s="39">
        <v>2.8054067839836776</v>
      </c>
      <c r="L12" s="81">
        <f t="shared" si="0"/>
        <v>11</v>
      </c>
      <c r="M12" s="5" t="s">
        <v>13</v>
      </c>
      <c r="N12" s="23">
        <v>3.9878569401400501</v>
      </c>
      <c r="O12" s="40">
        <v>3921</v>
      </c>
      <c r="P12" s="81">
        <f t="shared" si="1"/>
        <v>15.636387062289137</v>
      </c>
    </row>
    <row r="13" spans="1:18" x14ac:dyDescent="0.2">
      <c r="B13" s="83" t="s">
        <v>14</v>
      </c>
      <c r="C13" s="73">
        <v>384351</v>
      </c>
      <c r="D13" s="23">
        <v>4.95307489475013</v>
      </c>
      <c r="E13" s="40">
        <v>3710</v>
      </c>
      <c r="F13" s="55">
        <v>16</v>
      </c>
      <c r="G13" s="74">
        <v>4.3126684636118604</v>
      </c>
      <c r="H13" s="92"/>
      <c r="I13" s="5" t="s">
        <v>14</v>
      </c>
      <c r="J13" s="38">
        <v>3710</v>
      </c>
      <c r="K13" s="39">
        <v>4.3126684636118604</v>
      </c>
      <c r="L13" s="81">
        <f t="shared" si="0"/>
        <v>16.000000000000004</v>
      </c>
      <c r="M13" s="5" t="s">
        <v>14</v>
      </c>
      <c r="N13" s="23">
        <v>4.95307489475013</v>
      </c>
      <c r="O13" s="40">
        <v>3710</v>
      </c>
      <c r="P13" s="81">
        <f t="shared" si="1"/>
        <v>18.375907859522982</v>
      </c>
    </row>
    <row r="14" spans="1:18" x14ac:dyDescent="0.2">
      <c r="B14" s="83" t="s">
        <v>15</v>
      </c>
      <c r="C14" s="73">
        <v>372379</v>
      </c>
      <c r="D14" s="23">
        <v>6.3846780599316197</v>
      </c>
      <c r="E14" s="40">
        <v>3440</v>
      </c>
      <c r="F14" s="55">
        <v>14</v>
      </c>
      <c r="G14" s="74">
        <v>4.0697674418604652</v>
      </c>
      <c r="H14" s="92"/>
      <c r="I14" s="5" t="s">
        <v>15</v>
      </c>
      <c r="J14" s="38">
        <v>3440</v>
      </c>
      <c r="K14" s="39">
        <v>4.0697674418604652</v>
      </c>
      <c r="L14" s="81">
        <f t="shared" si="0"/>
        <v>14</v>
      </c>
      <c r="M14" s="5" t="s">
        <v>15</v>
      </c>
      <c r="N14" s="23">
        <v>6.3846780599316197</v>
      </c>
      <c r="O14" s="40">
        <v>3440</v>
      </c>
      <c r="P14" s="81">
        <f t="shared" si="1"/>
        <v>21.963292526164771</v>
      </c>
    </row>
    <row r="15" spans="1:18" x14ac:dyDescent="0.2">
      <c r="B15" s="83" t="s">
        <v>16</v>
      </c>
      <c r="C15" s="73">
        <v>336461</v>
      </c>
      <c r="D15" s="23">
        <v>9.2050637170639806</v>
      </c>
      <c r="E15" s="40">
        <v>3086</v>
      </c>
      <c r="F15" s="55">
        <v>31</v>
      </c>
      <c r="G15" s="74">
        <v>10.045366169799093</v>
      </c>
      <c r="H15" s="92"/>
      <c r="I15" s="5" t="s">
        <v>16</v>
      </c>
      <c r="J15" s="38">
        <v>3086</v>
      </c>
      <c r="K15" s="39">
        <v>10.045366169799093</v>
      </c>
      <c r="L15" s="81">
        <f t="shared" si="0"/>
        <v>31.000000000000004</v>
      </c>
      <c r="M15" s="5" t="s">
        <v>16</v>
      </c>
      <c r="N15" s="23">
        <v>9.2050637170639806</v>
      </c>
      <c r="O15" s="40">
        <v>3086</v>
      </c>
      <c r="P15" s="81">
        <f t="shared" si="1"/>
        <v>28.406826630859442</v>
      </c>
    </row>
    <row r="16" spans="1:18" x14ac:dyDescent="0.2">
      <c r="B16" s="83" t="s">
        <v>17</v>
      </c>
      <c r="C16" s="73">
        <v>282641</v>
      </c>
      <c r="D16" s="23">
        <v>13.699665073897</v>
      </c>
      <c r="E16" s="40">
        <v>2718</v>
      </c>
      <c r="F16" s="55">
        <v>33</v>
      </c>
      <c r="G16" s="74">
        <v>12.141280353200882</v>
      </c>
      <c r="H16" s="92"/>
      <c r="I16" s="5" t="s">
        <v>17</v>
      </c>
      <c r="J16" s="38">
        <v>2718</v>
      </c>
      <c r="K16" s="39">
        <v>12.141280353200882</v>
      </c>
      <c r="L16" s="81">
        <f t="shared" si="0"/>
        <v>33</v>
      </c>
      <c r="M16" s="5" t="s">
        <v>17</v>
      </c>
      <c r="N16" s="23">
        <v>13.699665073897</v>
      </c>
      <c r="O16" s="40">
        <v>2718</v>
      </c>
      <c r="P16" s="81">
        <f t="shared" si="1"/>
        <v>37.235689670852047</v>
      </c>
    </row>
    <row r="17" spans="2:17" x14ac:dyDescent="0.2">
      <c r="B17" s="83" t="s">
        <v>18</v>
      </c>
      <c r="C17" s="73">
        <v>231993</v>
      </c>
      <c r="D17" s="23">
        <v>19.662767711827701</v>
      </c>
      <c r="E17" s="40">
        <v>2303</v>
      </c>
      <c r="F17" s="55">
        <v>47</v>
      </c>
      <c r="G17" s="74">
        <v>20.408163265306122</v>
      </c>
      <c r="H17" s="92"/>
      <c r="I17" s="5" t="s">
        <v>18</v>
      </c>
      <c r="J17" s="38">
        <v>2303</v>
      </c>
      <c r="K17" s="39">
        <v>20.408163265306122</v>
      </c>
      <c r="L17" s="81">
        <f t="shared" si="0"/>
        <v>47</v>
      </c>
      <c r="M17" s="5" t="s">
        <v>18</v>
      </c>
      <c r="N17" s="23">
        <v>19.662767711827701</v>
      </c>
      <c r="O17" s="40">
        <v>2303</v>
      </c>
      <c r="P17" s="81">
        <f t="shared" si="1"/>
        <v>45.283354040339198</v>
      </c>
    </row>
    <row r="18" spans="2:17" x14ac:dyDescent="0.2">
      <c r="B18" s="83" t="s">
        <v>19</v>
      </c>
      <c r="C18" s="73">
        <v>180838</v>
      </c>
      <c r="D18" s="23">
        <v>28.9407569638098</v>
      </c>
      <c r="E18" s="40">
        <v>1782</v>
      </c>
      <c r="F18" s="55">
        <v>45</v>
      </c>
      <c r="G18" s="74">
        <v>25.252525252525253</v>
      </c>
      <c r="H18" s="92"/>
      <c r="I18" s="5" t="s">
        <v>19</v>
      </c>
      <c r="J18" s="38">
        <v>1782</v>
      </c>
      <c r="K18" s="39">
        <v>25.252525252525253</v>
      </c>
      <c r="L18" s="81">
        <f t="shared" si="0"/>
        <v>45</v>
      </c>
      <c r="M18" s="5" t="s">
        <v>19</v>
      </c>
      <c r="N18" s="23">
        <v>28.9407569638098</v>
      </c>
      <c r="O18" s="40">
        <v>1782</v>
      </c>
      <c r="P18" s="81">
        <f t="shared" si="1"/>
        <v>51.572428909509064</v>
      </c>
    </row>
    <row r="19" spans="2:17" x14ac:dyDescent="0.2">
      <c r="B19" s="83" t="s">
        <v>20</v>
      </c>
      <c r="C19" s="73">
        <v>133729</v>
      </c>
      <c r="D19" s="23">
        <v>46.458709469080802</v>
      </c>
      <c r="E19" s="40">
        <v>1355</v>
      </c>
      <c r="F19" s="55">
        <v>40</v>
      </c>
      <c r="G19" s="74">
        <v>29.520295202952028</v>
      </c>
      <c r="H19" s="92"/>
      <c r="I19" s="5" t="s">
        <v>20</v>
      </c>
      <c r="J19" s="38">
        <v>1355</v>
      </c>
      <c r="K19" s="39">
        <v>29.520295202952028</v>
      </c>
      <c r="L19" s="81">
        <f t="shared" si="0"/>
        <v>40</v>
      </c>
      <c r="M19" s="5" t="s">
        <v>20</v>
      </c>
      <c r="N19" s="23">
        <v>46.458709469080802</v>
      </c>
      <c r="O19" s="40">
        <v>1355</v>
      </c>
      <c r="P19" s="81">
        <f t="shared" si="1"/>
        <v>62.951551330604488</v>
      </c>
    </row>
    <row r="20" spans="2:17" x14ac:dyDescent="0.2">
      <c r="B20" s="83" t="s">
        <v>21</v>
      </c>
      <c r="C20" s="73">
        <v>99314</v>
      </c>
      <c r="D20" s="23">
        <v>71.268933733366694</v>
      </c>
      <c r="E20" s="40">
        <v>887</v>
      </c>
      <c r="F20" s="55">
        <v>49</v>
      </c>
      <c r="G20" s="74">
        <v>55.242390078917701</v>
      </c>
      <c r="H20" s="92"/>
      <c r="I20" s="5" t="s">
        <v>21</v>
      </c>
      <c r="J20" s="38">
        <v>887</v>
      </c>
      <c r="K20" s="39">
        <v>55.242390078917701</v>
      </c>
      <c r="L20" s="81">
        <f t="shared" si="0"/>
        <v>49</v>
      </c>
      <c r="M20" s="5" t="s">
        <v>21</v>
      </c>
      <c r="N20" s="23">
        <v>71.268933733366694</v>
      </c>
      <c r="O20" s="40">
        <v>887</v>
      </c>
      <c r="P20" s="81">
        <f t="shared" si="1"/>
        <v>63.215544221496259</v>
      </c>
    </row>
    <row r="21" spans="2:17" x14ac:dyDescent="0.2">
      <c r="B21" s="83" t="s">
        <v>22</v>
      </c>
      <c r="C21" s="73">
        <v>64121</v>
      </c>
      <c r="D21" s="23">
        <v>118.75143695093701</v>
      </c>
      <c r="E21" s="40">
        <v>591</v>
      </c>
      <c r="F21" s="55">
        <v>38</v>
      </c>
      <c r="G21" s="74">
        <v>64.297800338409473</v>
      </c>
      <c r="H21" s="92"/>
      <c r="I21" s="5" t="s">
        <v>22</v>
      </c>
      <c r="J21" s="38">
        <v>591</v>
      </c>
      <c r="K21" s="39">
        <v>64.297800338409473</v>
      </c>
      <c r="L21" s="81">
        <f t="shared" si="0"/>
        <v>38</v>
      </c>
      <c r="M21" s="5" t="s">
        <v>22</v>
      </c>
      <c r="N21" s="23">
        <v>118.75143695093701</v>
      </c>
      <c r="O21" s="40">
        <v>591</v>
      </c>
      <c r="P21" s="81">
        <f t="shared" si="1"/>
        <v>70.182099238003758</v>
      </c>
    </row>
    <row r="22" spans="2:17" x14ac:dyDescent="0.2">
      <c r="B22" s="83" t="s">
        <v>23</v>
      </c>
      <c r="C22" s="73">
        <v>59006</v>
      </c>
      <c r="D22" s="23">
        <v>271.84796588087801</v>
      </c>
      <c r="E22" s="40">
        <v>626</v>
      </c>
      <c r="F22" s="55">
        <v>85</v>
      </c>
      <c r="G22" s="74">
        <v>135.78274760383385</v>
      </c>
      <c r="H22" s="92"/>
      <c r="I22" s="5" t="s">
        <v>23</v>
      </c>
      <c r="J22" s="38">
        <v>626</v>
      </c>
      <c r="K22" s="39">
        <v>135.78274760383385</v>
      </c>
      <c r="L22" s="81">
        <f t="shared" si="0"/>
        <v>85</v>
      </c>
      <c r="M22" s="5" t="s">
        <v>23</v>
      </c>
      <c r="N22" s="23">
        <v>271.84796588087801</v>
      </c>
      <c r="O22" s="40">
        <v>626</v>
      </c>
      <c r="P22" s="81">
        <f t="shared" si="1"/>
        <v>170.17682664142961</v>
      </c>
    </row>
    <row r="23" spans="2:17" ht="13.5" thickBot="1" x14ac:dyDescent="0.25">
      <c r="B23" s="84" t="s">
        <v>58</v>
      </c>
      <c r="C23" s="75">
        <f>SUM(C5:C22)</f>
        <v>5130994</v>
      </c>
      <c r="D23" s="7" t="s">
        <v>59</v>
      </c>
      <c r="E23" s="76">
        <f>SUM(E5:E22)</f>
        <v>52503</v>
      </c>
      <c r="F23" s="77">
        <f>SUM(F5:F22)</f>
        <v>451</v>
      </c>
      <c r="G23" s="78" t="s">
        <v>59</v>
      </c>
      <c r="H23" s="92"/>
      <c r="I23" s="82" t="s">
        <v>58</v>
      </c>
      <c r="J23" s="55">
        <f>SUM(J5:J22)</f>
        <v>52503</v>
      </c>
      <c r="K23" s="56" t="s">
        <v>59</v>
      </c>
      <c r="L23" s="81">
        <f>SUM(L5:L22)</f>
        <v>451</v>
      </c>
      <c r="M23" s="82" t="s">
        <v>58</v>
      </c>
      <c r="N23" s="56" t="s">
        <v>59</v>
      </c>
      <c r="O23" s="60">
        <f>SUM(O5:O22)</f>
        <v>52503</v>
      </c>
      <c r="P23" s="81">
        <f>SUM(P5:P22)</f>
        <v>669.03810850096261</v>
      </c>
    </row>
    <row r="24" spans="2:17" ht="12.75" customHeight="1" thickBot="1" x14ac:dyDescent="0.25">
      <c r="B24" s="95"/>
      <c r="C24" s="93"/>
      <c r="D24" s="93"/>
      <c r="E24" s="93"/>
      <c r="F24" s="93"/>
      <c r="G24" s="93"/>
      <c r="H24" s="93"/>
      <c r="I24" s="102" t="s">
        <v>63</v>
      </c>
      <c r="J24" s="103"/>
      <c r="K24" s="104">
        <f>L23/J23*1000</f>
        <v>8.5899853341713808</v>
      </c>
      <c r="L24" s="105"/>
      <c r="M24" s="102" t="s">
        <v>65</v>
      </c>
      <c r="N24" s="103"/>
      <c r="O24" s="109">
        <f>R5*R4</f>
        <v>5.7905272307903504</v>
      </c>
      <c r="P24" s="110"/>
    </row>
    <row r="25" spans="2:17" ht="12.75" customHeight="1" thickBot="1" x14ac:dyDescent="0.25"/>
    <row r="26" spans="2:17" ht="12.75" customHeight="1" thickBot="1" x14ac:dyDescent="0.25">
      <c r="B26" s="85" t="s">
        <v>25</v>
      </c>
      <c r="C26" s="86">
        <v>0.1</v>
      </c>
      <c r="D26" s="87" t="s">
        <v>26</v>
      </c>
      <c r="E26" s="86">
        <v>0.4</v>
      </c>
      <c r="F26" s="88" t="s">
        <v>27</v>
      </c>
      <c r="G26" s="88"/>
      <c r="H26" s="89">
        <v>0.5</v>
      </c>
      <c r="I26" s="90"/>
      <c r="J26" s="90"/>
      <c r="K26" s="90"/>
      <c r="L26" s="90"/>
      <c r="M26" s="90"/>
      <c r="N26" s="90"/>
      <c r="O26" s="90"/>
      <c r="P26" s="90"/>
      <c r="Q26" s="91"/>
    </row>
    <row r="27" spans="2:17" ht="12.75" customHeight="1" thickBot="1" x14ac:dyDescent="0.25">
      <c r="B27" s="106" t="s">
        <v>29</v>
      </c>
      <c r="C27" s="107"/>
      <c r="D27" s="107"/>
      <c r="E27" s="107"/>
      <c r="F27" s="107"/>
      <c r="G27" s="108"/>
      <c r="H27" s="92"/>
      <c r="I27" s="106" t="s">
        <v>55</v>
      </c>
      <c r="J27" s="107"/>
      <c r="K27" s="107"/>
      <c r="L27" s="107"/>
      <c r="M27" s="107"/>
      <c r="N27" s="107"/>
      <c r="O27" s="107"/>
      <c r="P27" s="107"/>
      <c r="Q27" s="108"/>
    </row>
    <row r="28" spans="2:17" ht="12.75" customHeight="1" thickBot="1" x14ac:dyDescent="0.25">
      <c r="B28" s="2" t="s">
        <v>0</v>
      </c>
      <c r="C28" s="54" t="s">
        <v>1</v>
      </c>
      <c r="D28" s="54" t="s">
        <v>2</v>
      </c>
      <c r="E28" s="54" t="s">
        <v>3</v>
      </c>
      <c r="F28" s="54" t="s">
        <v>4</v>
      </c>
      <c r="G28" s="3" t="s">
        <v>28</v>
      </c>
      <c r="H28" s="92"/>
      <c r="I28" s="116" t="s">
        <v>35</v>
      </c>
      <c r="J28" s="113" t="s">
        <v>1</v>
      </c>
      <c r="K28" s="113" t="s">
        <v>2</v>
      </c>
      <c r="L28" s="16" t="s">
        <v>36</v>
      </c>
      <c r="M28" s="111" t="s">
        <v>37</v>
      </c>
      <c r="N28" s="112"/>
      <c r="O28" s="111" t="s">
        <v>38</v>
      </c>
      <c r="P28" s="112"/>
      <c r="Q28" s="17" t="s">
        <v>39</v>
      </c>
    </row>
    <row r="29" spans="2:17" ht="15" customHeight="1" x14ac:dyDescent="0.2">
      <c r="B29" s="4" t="s">
        <v>5</v>
      </c>
      <c r="C29" s="1">
        <v>0</v>
      </c>
      <c r="D29" s="1">
        <v>1</v>
      </c>
      <c r="E29" s="24">
        <v>7.714561234329798</v>
      </c>
      <c r="F29" s="25">
        <f>E29/1000</f>
        <v>7.7145612343297977E-3</v>
      </c>
      <c r="G29" s="26">
        <f>D29*F29/(1+D29*(1-C26)*F29)</f>
        <v>7.661367554108409E-3</v>
      </c>
      <c r="H29" s="92"/>
      <c r="I29" s="117"/>
      <c r="J29" s="114"/>
      <c r="K29" s="114"/>
      <c r="L29" s="12" t="s">
        <v>45</v>
      </c>
      <c r="M29" s="10" t="s">
        <v>40</v>
      </c>
      <c r="N29" s="14" t="s">
        <v>41</v>
      </c>
      <c r="O29" s="10" t="s">
        <v>42</v>
      </c>
      <c r="P29" s="14" t="s">
        <v>43</v>
      </c>
      <c r="Q29" s="52" t="s">
        <v>44</v>
      </c>
    </row>
    <row r="30" spans="2:17" ht="15" customHeight="1" x14ac:dyDescent="0.2">
      <c r="B30" s="5" t="s">
        <v>7</v>
      </c>
      <c r="C30" s="58">
        <v>1</v>
      </c>
      <c r="D30" s="58">
        <v>4</v>
      </c>
      <c r="E30" s="27">
        <v>0.97560975609756095</v>
      </c>
      <c r="F30" s="28">
        <f t="shared" ref="F30:F45" si="2">E30/1000</f>
        <v>9.7560975609756097E-4</v>
      </c>
      <c r="G30" s="29">
        <f>D30*F30/(1+D30*(1-E26)*F30)</f>
        <v>3.8933229511387969E-3</v>
      </c>
      <c r="H30" s="92"/>
      <c r="I30" s="117"/>
      <c r="J30" s="114"/>
      <c r="K30" s="114"/>
      <c r="L30" s="13" t="s">
        <v>46</v>
      </c>
      <c r="M30" s="11" t="s">
        <v>47</v>
      </c>
      <c r="N30" s="13" t="s">
        <v>48</v>
      </c>
      <c r="O30" s="11" t="s">
        <v>56</v>
      </c>
      <c r="P30" s="13" t="s">
        <v>49</v>
      </c>
      <c r="Q30" s="52" t="s">
        <v>50</v>
      </c>
    </row>
    <row r="31" spans="2:17" ht="16.5" thickBot="1" x14ac:dyDescent="0.25">
      <c r="B31" s="5" t="s">
        <v>8</v>
      </c>
      <c r="C31" s="58">
        <v>5</v>
      </c>
      <c r="D31" s="58">
        <v>5</v>
      </c>
      <c r="E31" s="27">
        <v>0</v>
      </c>
      <c r="F31" s="28">
        <f t="shared" si="2"/>
        <v>0</v>
      </c>
      <c r="G31" s="29">
        <f t="shared" ref="G31:G45" si="3">D31*F31/(1+D31*(1-$H$26)*F31)</f>
        <v>0</v>
      </c>
      <c r="H31" s="92"/>
      <c r="I31" s="118"/>
      <c r="J31" s="115"/>
      <c r="K31" s="115"/>
      <c r="L31" s="18" t="s">
        <v>28</v>
      </c>
      <c r="M31" s="63" t="s">
        <v>30</v>
      </c>
      <c r="N31" s="18" t="s">
        <v>31</v>
      </c>
      <c r="O31" s="18" t="s">
        <v>32</v>
      </c>
      <c r="P31" s="51" t="s">
        <v>33</v>
      </c>
      <c r="Q31" s="53" t="s">
        <v>34</v>
      </c>
    </row>
    <row r="32" spans="2:17" x14ac:dyDescent="0.2">
      <c r="B32" s="5" t="s">
        <v>9</v>
      </c>
      <c r="C32" s="58">
        <v>10</v>
      </c>
      <c r="D32" s="58">
        <v>5</v>
      </c>
      <c r="E32" s="27">
        <v>0.23752969121140141</v>
      </c>
      <c r="F32" s="28">
        <f t="shared" si="2"/>
        <v>2.3752969121140142E-4</v>
      </c>
      <c r="G32" s="29">
        <f t="shared" si="3"/>
        <v>1.1869436201780415E-3</v>
      </c>
      <c r="H32" s="92"/>
      <c r="I32" s="41" t="s">
        <v>5</v>
      </c>
      <c r="J32" s="21">
        <v>0</v>
      </c>
      <c r="K32" s="21">
        <v>1</v>
      </c>
      <c r="L32" s="33">
        <f>G29</f>
        <v>7.661367554108409E-3</v>
      </c>
      <c r="M32" s="34">
        <v>100000</v>
      </c>
      <c r="N32" s="35">
        <f>L32*M32</f>
        <v>766.13675541084092</v>
      </c>
      <c r="O32" s="35">
        <f>K32*(M33+(C26*N32))</f>
        <v>99310.476920130241</v>
      </c>
      <c r="P32" s="35">
        <f>SUM($O$32:$O$49)</f>
        <v>6883988.6988205481</v>
      </c>
      <c r="Q32" s="42">
        <f>P32/M32</f>
        <v>68.839886988205478</v>
      </c>
    </row>
    <row r="33" spans="2:17" x14ac:dyDescent="0.2">
      <c r="B33" s="5" t="s">
        <v>10</v>
      </c>
      <c r="C33" s="58">
        <v>15</v>
      </c>
      <c r="D33" s="58">
        <v>5</v>
      </c>
      <c r="E33" s="27">
        <v>1.1299435028248588</v>
      </c>
      <c r="F33" s="28">
        <f t="shared" si="2"/>
        <v>1.1299435028248588E-3</v>
      </c>
      <c r="G33" s="29">
        <f t="shared" si="3"/>
        <v>5.6338028169014088E-3</v>
      </c>
      <c r="H33" s="92"/>
      <c r="I33" s="43" t="s">
        <v>7</v>
      </c>
      <c r="J33" s="22">
        <v>1</v>
      </c>
      <c r="K33" s="22">
        <v>4</v>
      </c>
      <c r="L33" s="36">
        <f t="shared" ref="L33:L48" si="4">G30</f>
        <v>3.8933229511387969E-3</v>
      </c>
      <c r="M33" s="37">
        <f>M32-N32</f>
        <v>99233.863244589156</v>
      </c>
      <c r="N33" s="35">
        <f t="shared" ref="N33:N49" si="5">L33*M33</f>
        <v>386.34947730032764</v>
      </c>
      <c r="O33" s="35">
        <f>K33*(M34+(E26*N33))</f>
        <v>396008.2142328358</v>
      </c>
      <c r="P33" s="35">
        <f>SUM($O$33:$O$49)</f>
        <v>6784678.2219004184</v>
      </c>
      <c r="Q33" s="42">
        <f t="shared" ref="Q33:Q49" si="6">P33/M33</f>
        <v>68.370594473155933</v>
      </c>
    </row>
    <row r="34" spans="2:17" x14ac:dyDescent="0.2">
      <c r="B34" s="5" t="s">
        <v>11</v>
      </c>
      <c r="C34" s="58">
        <v>20</v>
      </c>
      <c r="D34" s="58">
        <v>5</v>
      </c>
      <c r="E34" s="27">
        <v>2.0214271275520521</v>
      </c>
      <c r="F34" s="28">
        <f t="shared" si="2"/>
        <v>2.0214271275520519E-3</v>
      </c>
      <c r="G34" s="29">
        <f t="shared" si="3"/>
        <v>1.0056315366049879E-2</v>
      </c>
      <c r="H34" s="92"/>
      <c r="I34" s="43" t="s">
        <v>8</v>
      </c>
      <c r="J34" s="22">
        <v>5</v>
      </c>
      <c r="K34" s="22">
        <v>5</v>
      </c>
      <c r="L34" s="36">
        <f t="shared" si="4"/>
        <v>0</v>
      </c>
      <c r="M34" s="37">
        <f t="shared" ref="M34:M49" si="7">M33-N33</f>
        <v>98847.513767288823</v>
      </c>
      <c r="N34" s="35">
        <f t="shared" si="5"/>
        <v>0</v>
      </c>
      <c r="O34" s="35">
        <f t="shared" ref="O34:O48" si="8">K34*(M35+($H$26*N34))</f>
        <v>494237.56883644412</v>
      </c>
      <c r="P34" s="35">
        <f>SUM($O$34:$O$49)</f>
        <v>6388670.0076675825</v>
      </c>
      <c r="Q34" s="42">
        <f t="shared" si="6"/>
        <v>64.631570023178043</v>
      </c>
    </row>
    <row r="35" spans="2:17" x14ac:dyDescent="0.2">
      <c r="B35" s="5" t="s">
        <v>12</v>
      </c>
      <c r="C35" s="58">
        <v>25</v>
      </c>
      <c r="D35" s="58">
        <v>5</v>
      </c>
      <c r="E35" s="27">
        <v>3.0547676194632336</v>
      </c>
      <c r="F35" s="28">
        <f t="shared" si="2"/>
        <v>3.0547676194632336E-3</v>
      </c>
      <c r="G35" s="29">
        <f t="shared" si="3"/>
        <v>1.51580770896492E-2</v>
      </c>
      <c r="H35" s="92"/>
      <c r="I35" s="43" t="s">
        <v>9</v>
      </c>
      <c r="J35" s="22">
        <v>10</v>
      </c>
      <c r="K35" s="22">
        <v>5</v>
      </c>
      <c r="L35" s="36">
        <f t="shared" si="4"/>
        <v>1.1869436201780415E-3</v>
      </c>
      <c r="M35" s="37">
        <f t="shared" si="7"/>
        <v>98847.513767288823</v>
      </c>
      <c r="N35" s="35">
        <f t="shared" si="5"/>
        <v>117.32642583654459</v>
      </c>
      <c r="O35" s="35">
        <f t="shared" si="8"/>
        <v>493944.25277185277</v>
      </c>
      <c r="P35" s="35">
        <f>SUM($O$35:$O$49)</f>
        <v>5894432.4388311394</v>
      </c>
      <c r="Q35" s="42">
        <f t="shared" si="6"/>
        <v>59.631570023178043</v>
      </c>
    </row>
    <row r="36" spans="2:17" x14ac:dyDescent="0.2">
      <c r="B36" s="5" t="s">
        <v>13</v>
      </c>
      <c r="C36" s="58">
        <v>30</v>
      </c>
      <c r="D36" s="58">
        <v>5</v>
      </c>
      <c r="E36" s="27">
        <v>2.8054067839836776</v>
      </c>
      <c r="F36" s="28">
        <f t="shared" si="2"/>
        <v>2.8054067839836778E-3</v>
      </c>
      <c r="G36" s="29">
        <f t="shared" si="3"/>
        <v>1.392934025579334E-2</v>
      </c>
      <c r="H36" s="92"/>
      <c r="I36" s="43" t="s">
        <v>10</v>
      </c>
      <c r="J36" s="22">
        <v>15</v>
      </c>
      <c r="K36" s="22">
        <v>5</v>
      </c>
      <c r="L36" s="36">
        <f t="shared" si="4"/>
        <v>5.6338028169014088E-3</v>
      </c>
      <c r="M36" s="37">
        <f t="shared" si="7"/>
        <v>98730.187341452285</v>
      </c>
      <c r="N36" s="35">
        <f t="shared" si="5"/>
        <v>556.22640755747773</v>
      </c>
      <c r="O36" s="35">
        <f t="shared" si="8"/>
        <v>492260.37068836769</v>
      </c>
      <c r="P36" s="35">
        <f>SUM($O$36:$O$49)</f>
        <v>5400488.1860592868</v>
      </c>
      <c r="Q36" s="42">
        <f t="shared" si="6"/>
        <v>54.699462560341658</v>
      </c>
    </row>
    <row r="37" spans="2:17" x14ac:dyDescent="0.2">
      <c r="B37" s="5" t="s">
        <v>14</v>
      </c>
      <c r="C37" s="58">
        <v>35</v>
      </c>
      <c r="D37" s="58">
        <v>5</v>
      </c>
      <c r="E37" s="27">
        <v>4.3126684636118604</v>
      </c>
      <c r="F37" s="28">
        <f t="shared" si="2"/>
        <v>4.3126684636118602E-3</v>
      </c>
      <c r="G37" s="29">
        <f t="shared" si="3"/>
        <v>2.1333333333333336E-2</v>
      </c>
      <c r="H37" s="92"/>
      <c r="I37" s="43" t="s">
        <v>11</v>
      </c>
      <c r="J37" s="22">
        <v>20</v>
      </c>
      <c r="K37" s="22">
        <v>5</v>
      </c>
      <c r="L37" s="36">
        <f t="shared" si="4"/>
        <v>1.0056315366049879E-2</v>
      </c>
      <c r="M37" s="37">
        <f t="shared" si="7"/>
        <v>98173.960933894807</v>
      </c>
      <c r="N37" s="35">
        <f t="shared" si="5"/>
        <v>987.26831188550693</v>
      </c>
      <c r="O37" s="35">
        <f t="shared" si="8"/>
        <v>488401.63388976024</v>
      </c>
      <c r="P37" s="35">
        <f>SUM($O$37:$O$49)</f>
        <v>4908227.8153709192</v>
      </c>
      <c r="Q37" s="42">
        <f t="shared" si="6"/>
        <v>49.995210223573054</v>
      </c>
    </row>
    <row r="38" spans="2:17" x14ac:dyDescent="0.2">
      <c r="B38" s="5" t="s">
        <v>15</v>
      </c>
      <c r="C38" s="58">
        <v>40</v>
      </c>
      <c r="D38" s="58">
        <v>5</v>
      </c>
      <c r="E38" s="27">
        <v>4.0697674418604652</v>
      </c>
      <c r="F38" s="28">
        <f t="shared" si="2"/>
        <v>4.0697674418604651E-3</v>
      </c>
      <c r="G38" s="29">
        <f t="shared" si="3"/>
        <v>2.0143884892086333E-2</v>
      </c>
      <c r="H38" s="92"/>
      <c r="I38" s="43" t="s">
        <v>12</v>
      </c>
      <c r="J38" s="22">
        <v>25</v>
      </c>
      <c r="K38" s="22">
        <v>5</v>
      </c>
      <c r="L38" s="36">
        <f t="shared" si="4"/>
        <v>1.51580770896492E-2</v>
      </c>
      <c r="M38" s="37">
        <f t="shared" si="7"/>
        <v>97186.692622009301</v>
      </c>
      <c r="N38" s="35">
        <f t="shared" si="5"/>
        <v>1473.1633788524582</v>
      </c>
      <c r="O38" s="35">
        <f t="shared" si="8"/>
        <v>482250.5546629153</v>
      </c>
      <c r="P38" s="35">
        <f>SUM($O$38:$O$49)</f>
        <v>4419826.1814811584</v>
      </c>
      <c r="Q38" s="42">
        <f t="shared" si="6"/>
        <v>45.477688994637383</v>
      </c>
    </row>
    <row r="39" spans="2:17" x14ac:dyDescent="0.2">
      <c r="B39" s="5" t="s">
        <v>16</v>
      </c>
      <c r="C39" s="58">
        <v>45</v>
      </c>
      <c r="D39" s="58">
        <v>5</v>
      </c>
      <c r="E39" s="27">
        <v>10.045366169799093</v>
      </c>
      <c r="F39" s="28">
        <f t="shared" si="2"/>
        <v>1.0045366169799093E-2</v>
      </c>
      <c r="G39" s="29">
        <f t="shared" si="3"/>
        <v>4.8996364785838478E-2</v>
      </c>
      <c r="H39" s="92"/>
      <c r="I39" s="43" t="s">
        <v>13</v>
      </c>
      <c r="J39" s="22">
        <v>30</v>
      </c>
      <c r="K39" s="22">
        <v>5</v>
      </c>
      <c r="L39" s="36">
        <f t="shared" si="4"/>
        <v>1.392934025579334E-2</v>
      </c>
      <c r="M39" s="37">
        <f t="shared" si="7"/>
        <v>95713.529243156838</v>
      </c>
      <c r="N39" s="35">
        <f t="shared" si="5"/>
        <v>1333.2263159107576</v>
      </c>
      <c r="O39" s="35">
        <f t="shared" si="8"/>
        <v>475234.58042600728</v>
      </c>
      <c r="P39" s="35">
        <f>SUM($O$39:$O$49)</f>
        <v>3937575.6268182439</v>
      </c>
      <c r="Q39" s="42">
        <f t="shared" si="6"/>
        <v>41.139174973006924</v>
      </c>
    </row>
    <row r="40" spans="2:17" x14ac:dyDescent="0.2">
      <c r="B40" s="5" t="s">
        <v>17</v>
      </c>
      <c r="C40" s="58">
        <v>50</v>
      </c>
      <c r="D40" s="58">
        <v>5</v>
      </c>
      <c r="E40" s="27">
        <v>12.141280353200882</v>
      </c>
      <c r="F40" s="28">
        <f t="shared" si="2"/>
        <v>1.2141280353200883E-2</v>
      </c>
      <c r="G40" s="29">
        <f t="shared" si="3"/>
        <v>5.8918050348152111E-2</v>
      </c>
      <c r="H40" s="92"/>
      <c r="I40" s="43" t="s">
        <v>14</v>
      </c>
      <c r="J40" s="22">
        <v>35</v>
      </c>
      <c r="K40" s="22">
        <v>5</v>
      </c>
      <c r="L40" s="36">
        <f t="shared" si="4"/>
        <v>2.1333333333333336E-2</v>
      </c>
      <c r="M40" s="37">
        <f t="shared" si="7"/>
        <v>94380.302927246084</v>
      </c>
      <c r="N40" s="35">
        <f t="shared" si="5"/>
        <v>2013.4464624479167</v>
      </c>
      <c r="O40" s="35">
        <f t="shared" si="8"/>
        <v>466867.89848011069</v>
      </c>
      <c r="P40" s="35">
        <f>SUM($O$40:$O$49)</f>
        <v>3462341.0463922364</v>
      </c>
      <c r="Q40" s="42">
        <f t="shared" si="6"/>
        <v>36.684996116840324</v>
      </c>
    </row>
    <row r="41" spans="2:17" x14ac:dyDescent="0.2">
      <c r="B41" s="5" t="s">
        <v>18</v>
      </c>
      <c r="C41" s="58">
        <v>55</v>
      </c>
      <c r="D41" s="58">
        <v>5</v>
      </c>
      <c r="E41" s="27">
        <v>20.408163265306122</v>
      </c>
      <c r="F41" s="28">
        <f t="shared" si="2"/>
        <v>2.0408163265306121E-2</v>
      </c>
      <c r="G41" s="29">
        <f t="shared" si="3"/>
        <v>9.7087378640776698E-2</v>
      </c>
      <c r="H41" s="92"/>
      <c r="I41" s="43" t="s">
        <v>15</v>
      </c>
      <c r="J41" s="22">
        <v>40</v>
      </c>
      <c r="K41" s="22">
        <v>5</v>
      </c>
      <c r="L41" s="36">
        <f t="shared" si="4"/>
        <v>2.0143884892086333E-2</v>
      </c>
      <c r="M41" s="37">
        <f t="shared" si="7"/>
        <v>92366.856464798169</v>
      </c>
      <c r="N41" s="35">
        <f t="shared" si="5"/>
        <v>1860.6273244707547</v>
      </c>
      <c r="O41" s="35">
        <f t="shared" si="8"/>
        <v>457182.71401281399</v>
      </c>
      <c r="P41" s="35">
        <f>SUM($O$41:$O$49)</f>
        <v>2995473.147912126</v>
      </c>
      <c r="Q41" s="42">
        <f t="shared" si="6"/>
        <v>32.430173143910416</v>
      </c>
    </row>
    <row r="42" spans="2:17" x14ac:dyDescent="0.2">
      <c r="B42" s="5" t="s">
        <v>19</v>
      </c>
      <c r="C42" s="58">
        <v>60</v>
      </c>
      <c r="D42" s="58">
        <v>5</v>
      </c>
      <c r="E42" s="27">
        <v>25.252525252525253</v>
      </c>
      <c r="F42" s="28">
        <f t="shared" si="2"/>
        <v>2.5252525252525252E-2</v>
      </c>
      <c r="G42" s="29">
        <f t="shared" si="3"/>
        <v>0.11876484560570072</v>
      </c>
      <c r="H42" s="92"/>
      <c r="I42" s="43" t="s">
        <v>16</v>
      </c>
      <c r="J42" s="22">
        <v>45</v>
      </c>
      <c r="K42" s="22">
        <v>5</v>
      </c>
      <c r="L42" s="36">
        <f t="shared" si="4"/>
        <v>4.8996364785838478E-2</v>
      </c>
      <c r="M42" s="37">
        <f t="shared" si="7"/>
        <v>90506.229140327414</v>
      </c>
      <c r="N42" s="35">
        <f t="shared" si="5"/>
        <v>4434.4762183501662</v>
      </c>
      <c r="O42" s="35">
        <f t="shared" si="8"/>
        <v>441444.95515576168</v>
      </c>
      <c r="P42" s="35">
        <f>SUM($O$42:$O$49)</f>
        <v>2538290.4338993118</v>
      </c>
      <c r="Q42" s="42">
        <f t="shared" si="6"/>
        <v>28.045477731303581</v>
      </c>
    </row>
    <row r="43" spans="2:17" x14ac:dyDescent="0.2">
      <c r="B43" s="5" t="s">
        <v>20</v>
      </c>
      <c r="C43" s="58">
        <v>65</v>
      </c>
      <c r="D43" s="58">
        <v>5</v>
      </c>
      <c r="E43" s="27">
        <v>29.520295202952028</v>
      </c>
      <c r="F43" s="28">
        <f t="shared" si="2"/>
        <v>2.9520295202952029E-2</v>
      </c>
      <c r="G43" s="29">
        <f t="shared" si="3"/>
        <v>0.13745704467353953</v>
      </c>
      <c r="H43" s="92"/>
      <c r="I43" s="43" t="s">
        <v>17</v>
      </c>
      <c r="J43" s="22">
        <v>50</v>
      </c>
      <c r="K43" s="22">
        <v>5</v>
      </c>
      <c r="L43" s="36">
        <f t="shared" si="4"/>
        <v>5.8918050348152111E-2</v>
      </c>
      <c r="M43" s="37">
        <f t="shared" si="7"/>
        <v>86071.752921977255</v>
      </c>
      <c r="N43" s="35">
        <f t="shared" si="5"/>
        <v>5071.1798722107642</v>
      </c>
      <c r="O43" s="35">
        <f t="shared" si="8"/>
        <v>417680.81492935942</v>
      </c>
      <c r="P43" s="35">
        <f>SUM($O$43:$O$49)</f>
        <v>2096845.4787435499</v>
      </c>
      <c r="Q43" s="42">
        <f t="shared" si="6"/>
        <v>24.361598405510676</v>
      </c>
    </row>
    <row r="44" spans="2:17" x14ac:dyDescent="0.2">
      <c r="B44" s="5" t="s">
        <v>21</v>
      </c>
      <c r="C44" s="58">
        <v>70</v>
      </c>
      <c r="D44" s="58">
        <v>5</v>
      </c>
      <c r="E44" s="27">
        <v>55.242390078917701</v>
      </c>
      <c r="F44" s="28">
        <f t="shared" si="2"/>
        <v>5.5242390078917701E-2</v>
      </c>
      <c r="G44" s="29">
        <f t="shared" si="3"/>
        <v>0.24269440316988611</v>
      </c>
      <c r="H44" s="92"/>
      <c r="I44" s="43" t="s">
        <v>18</v>
      </c>
      <c r="J44" s="22">
        <v>55</v>
      </c>
      <c r="K44" s="22">
        <v>5</v>
      </c>
      <c r="L44" s="36">
        <f t="shared" si="4"/>
        <v>9.7087378640776698E-2</v>
      </c>
      <c r="M44" s="37">
        <f t="shared" si="7"/>
        <v>81000.573049766492</v>
      </c>
      <c r="N44" s="35">
        <f t="shared" si="5"/>
        <v>7864.1333058025721</v>
      </c>
      <c r="O44" s="35">
        <f t="shared" si="8"/>
        <v>385342.53198432596</v>
      </c>
      <c r="P44" s="35">
        <f>SUM($O$44:$O$49)</f>
        <v>1679164.6638141903</v>
      </c>
      <c r="Q44" s="42">
        <f t="shared" si="6"/>
        <v>20.730281288041223</v>
      </c>
    </row>
    <row r="45" spans="2:17" x14ac:dyDescent="0.2">
      <c r="B45" s="5" t="s">
        <v>22</v>
      </c>
      <c r="C45" s="58">
        <v>75</v>
      </c>
      <c r="D45" s="58">
        <v>5</v>
      </c>
      <c r="E45" s="27">
        <v>64.297800338409473</v>
      </c>
      <c r="F45" s="28">
        <f t="shared" si="2"/>
        <v>6.4297800338409469E-2</v>
      </c>
      <c r="G45" s="29">
        <f t="shared" si="3"/>
        <v>0.27696793002915449</v>
      </c>
      <c r="H45" s="92"/>
      <c r="I45" s="43" t="s">
        <v>19</v>
      </c>
      <c r="J45" s="22">
        <v>60</v>
      </c>
      <c r="K45" s="22">
        <v>5</v>
      </c>
      <c r="L45" s="36">
        <f t="shared" si="4"/>
        <v>0.11876484560570072</v>
      </c>
      <c r="M45" s="37">
        <f t="shared" si="7"/>
        <v>73136.439743963914</v>
      </c>
      <c r="N45" s="35">
        <f t="shared" si="5"/>
        <v>8686.0379743425074</v>
      </c>
      <c r="O45" s="35">
        <f t="shared" si="8"/>
        <v>343967.10378396331</v>
      </c>
      <c r="P45" s="35">
        <f>SUM($O$45:$O$49)</f>
        <v>1293822.1318298646</v>
      </c>
      <c r="Q45" s="42">
        <f t="shared" si="6"/>
        <v>17.690526587830604</v>
      </c>
    </row>
    <row r="46" spans="2:17" ht="13.5" thickBot="1" x14ac:dyDescent="0.25">
      <c r="B46" s="6" t="s">
        <v>23</v>
      </c>
      <c r="C46" s="7">
        <v>80</v>
      </c>
      <c r="D46" s="7" t="s">
        <v>24</v>
      </c>
      <c r="E46" s="30">
        <v>135.78274760383385</v>
      </c>
      <c r="F46" s="31">
        <f>E46/1000</f>
        <v>0.13578274760383385</v>
      </c>
      <c r="G46" s="32">
        <v>1</v>
      </c>
      <c r="H46" s="92"/>
      <c r="I46" s="43" t="s">
        <v>20</v>
      </c>
      <c r="J46" s="22">
        <v>65</v>
      </c>
      <c r="K46" s="22">
        <v>5</v>
      </c>
      <c r="L46" s="36">
        <f t="shared" si="4"/>
        <v>0.13745704467353953</v>
      </c>
      <c r="M46" s="37">
        <f t="shared" si="7"/>
        <v>64450.401769621407</v>
      </c>
      <c r="N46" s="35">
        <f t="shared" si="5"/>
        <v>8859.161755274421</v>
      </c>
      <c r="O46" s="35">
        <f t="shared" si="8"/>
        <v>300104.10445992101</v>
      </c>
      <c r="P46" s="35">
        <f>SUM($O$46:$O$49)</f>
        <v>949855.0280459011</v>
      </c>
      <c r="Q46" s="42">
        <f t="shared" si="6"/>
        <v>14.737767367861681</v>
      </c>
    </row>
    <row r="47" spans="2:17" x14ac:dyDescent="0.2">
      <c r="B47" s="94"/>
      <c r="C47" s="92"/>
      <c r="D47" s="92"/>
      <c r="E47" s="92"/>
      <c r="F47" s="92"/>
      <c r="G47" s="92"/>
      <c r="H47" s="92"/>
      <c r="I47" s="43" t="s">
        <v>21</v>
      </c>
      <c r="J47" s="22">
        <v>70</v>
      </c>
      <c r="K47" s="22">
        <v>5</v>
      </c>
      <c r="L47" s="36">
        <f t="shared" si="4"/>
        <v>0.24269440316988611</v>
      </c>
      <c r="M47" s="37">
        <f t="shared" si="7"/>
        <v>55591.240014346986</v>
      </c>
      <c r="N47" s="35">
        <f t="shared" si="5"/>
        <v>13491.682816755832</v>
      </c>
      <c r="O47" s="35">
        <f t="shared" si="8"/>
        <v>244226.99302984533</v>
      </c>
      <c r="P47" s="35">
        <f>SUM($O$47:$O$49)</f>
        <v>649750.9235859802</v>
      </c>
      <c r="Q47" s="42">
        <f t="shared" si="6"/>
        <v>11.688009179473106</v>
      </c>
    </row>
    <row r="48" spans="2:17" x14ac:dyDescent="0.2">
      <c r="B48" s="94"/>
      <c r="C48" s="92"/>
      <c r="D48" s="92"/>
      <c r="E48" s="92"/>
      <c r="F48" s="92"/>
      <c r="G48" s="92"/>
      <c r="H48" s="92"/>
      <c r="I48" s="43" t="s">
        <v>22</v>
      </c>
      <c r="J48" s="22">
        <v>75</v>
      </c>
      <c r="K48" s="22">
        <v>5</v>
      </c>
      <c r="L48" s="36">
        <f t="shared" si="4"/>
        <v>0.27696793002915449</v>
      </c>
      <c r="M48" s="37">
        <f t="shared" si="7"/>
        <v>42099.557197591152</v>
      </c>
      <c r="N48" s="35">
        <f t="shared" si="5"/>
        <v>11660.227212160813</v>
      </c>
      <c r="O48" s="35">
        <f t="shared" si="8"/>
        <v>181347.21795755374</v>
      </c>
      <c r="P48" s="35">
        <f>SUM($O$48:$O$49)</f>
        <v>405523.9305561349</v>
      </c>
      <c r="Q48" s="42">
        <f t="shared" si="6"/>
        <v>9.6324987137712252</v>
      </c>
    </row>
    <row r="49" spans="2:17" ht="13.5" thickBot="1" x14ac:dyDescent="0.25">
      <c r="B49" s="95"/>
      <c r="C49" s="93"/>
      <c r="D49" s="93"/>
      <c r="E49" s="93"/>
      <c r="F49" s="93"/>
      <c r="G49" s="93"/>
      <c r="H49" s="93"/>
      <c r="I49" s="44" t="s">
        <v>23</v>
      </c>
      <c r="J49" s="45">
        <v>80</v>
      </c>
      <c r="K49" s="45" t="s">
        <v>24</v>
      </c>
      <c r="L49" s="46">
        <v>1</v>
      </c>
      <c r="M49" s="47">
        <f t="shared" si="7"/>
        <v>30439.32998543034</v>
      </c>
      <c r="N49" s="48">
        <f t="shared" si="5"/>
        <v>30439.32998543034</v>
      </c>
      <c r="O49" s="48">
        <f>N49/F46</f>
        <v>224176.71259858113</v>
      </c>
      <c r="P49" s="48">
        <f>O49</f>
        <v>224176.71259858113</v>
      </c>
      <c r="Q49" s="49">
        <f t="shared" si="6"/>
        <v>7.3647058823529425</v>
      </c>
    </row>
    <row r="50" spans="2:17" x14ac:dyDescent="0.2">
      <c r="B50" s="8"/>
    </row>
    <row r="51" spans="2:17" x14ac:dyDescent="0.2">
      <c r="B51" s="8"/>
    </row>
  </sheetData>
  <mergeCells count="16">
    <mergeCell ref="I24:J24"/>
    <mergeCell ref="K24:L24"/>
    <mergeCell ref="M24:N24"/>
    <mergeCell ref="O24:P24"/>
    <mergeCell ref="B3:B4"/>
    <mergeCell ref="C3:D3"/>
    <mergeCell ref="E3:G3"/>
    <mergeCell ref="I3:L3"/>
    <mergeCell ref="M3:P3"/>
    <mergeCell ref="B27:G27"/>
    <mergeCell ref="I27:Q27"/>
    <mergeCell ref="I28:I31"/>
    <mergeCell ref="J28:J31"/>
    <mergeCell ref="K28:K31"/>
    <mergeCell ref="M28:N28"/>
    <mergeCell ref="O28:P28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Nova Zelândia</vt:lpstr>
      <vt:lpstr>Palmas</vt:lpstr>
    </vt:vector>
  </TitlesOfParts>
  <Company>Tribunal de Justiça do Estado do Paraná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Davison Wiselowski</dc:creator>
  <cp:lastModifiedBy>Usuário do Windows</cp:lastModifiedBy>
  <dcterms:created xsi:type="dcterms:W3CDTF">2023-11-10T16:31:37Z</dcterms:created>
  <dcterms:modified xsi:type="dcterms:W3CDTF">2023-11-17T17:14:10Z</dcterms:modified>
</cp:coreProperties>
</file>